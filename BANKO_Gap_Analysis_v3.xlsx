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 Executif" sheetId="1" state="visible" r:id="rId3"/>
    <sheet name="Detail Stories" sheetId="2" state="visible" r:id="rId4"/>
    <sheet name="Roadmap TODO" sheetId="3" state="visible" r:id="rId5"/>
    <sheet name="Gap par BC" sheetId="4" state="visible" r:id="rId6"/>
    <sheet name="Stories Additionnelles" sheetId="5" state="visible" r:id="rId7"/>
  </sheets>
  <definedNames>
    <definedName function="false" hidden="true" localSheetId="1" name="_xlnm._FilterDatabase" vbProcedure="false">'Detail Stories'!$A$1:$I$163</definedName>
    <definedName function="false" hidden="true" localSheetId="2" name="_xlnm._FilterDatabase" vbProcedure="false">'Roadmap TODO'!$A$1:$I$48</definedName>
    <definedName function="false" hidden="true" localSheetId="4" name="_xlnm._FilterDatabase" vbProcedure="false">'Stories Additionnelles'!$A$1:$I$61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<sst xmlns="http://schemas.openxmlformats.org/spreadsheetml/2006/main" count="2134" uniqueCount="853">
  <si>
    <t xml:space="preserve">BANKO - Gap Analysis v3.0</t>
  </si>
  <si>
    <t xml:space="preserve">Analyse des ecarts entre les delivrables BMAD et l'etat actuel du projet</t>
  </si>
  <si>
    <t xml:space="preserve">Date: 6 avril 2026</t>
  </si>
  <si>
    <t xml:space="preserve">Categorie</t>
  </si>
  <si>
    <t xml:space="preserve">Total Stories</t>
  </si>
  <si>
    <t xml:space="preserve">Done</t>
  </si>
  <si>
    <t xml:space="preserve">Partiel</t>
  </si>
  <si>
    <t xml:space="preserve">A faire</t>
  </si>
  <si>
    <t xml:space="preserve">% Avancement</t>
  </si>
  <si>
    <t xml:space="preserve">Sprint 0 - Fondations</t>
  </si>
  <si>
    <t xml:space="preserve">Epic 1 - Identity (BC12)</t>
  </si>
  <si>
    <t xml:space="preserve">Epic 2 - Customer/KYC (BC1)</t>
  </si>
  <si>
    <t xml:space="preserve">Epic 3 - Account (BC2)</t>
  </si>
  <si>
    <t xml:space="preserve">Epic 4 - Credit (BC3)</t>
  </si>
  <si>
    <t xml:space="preserve">Epic 5 - AML (BC4)</t>
  </si>
  <si>
    <t xml:space="preserve">Epic 6 - Sanctions (BC5)</t>
  </si>
  <si>
    <t xml:space="preserve">Epic 7 - Prudential (BC6)</t>
  </si>
  <si>
    <t xml:space="preserve">Epic 8 - Accounting (BC7)</t>
  </si>
  <si>
    <t xml:space="preserve">Epic 9 - Governance (BC11)</t>
  </si>
  <si>
    <t xml:space="preserve">Epic 10 - Reporting (BC8)</t>
  </si>
  <si>
    <t xml:space="preserve">Epic 11 - Payment (BC9)</t>
  </si>
  <si>
    <t xml:space="preserve">Epic 12 - ForeignExchange (BC10)</t>
  </si>
  <si>
    <t xml:space="preserve">Frontend UI Stories</t>
  </si>
  <si>
    <t xml:space="preserve">Internationalisation (i18n)</t>
  </si>
  <si>
    <t xml:space="preserve">Compliance ISO/INPDP (BC13)</t>
  </si>
  <si>
    <t xml:space="preserve">Horizontal (Retention/Consent)</t>
  </si>
  <si>
    <t xml:space="preserve">TOTAL</t>
  </si>
  <si>
    <t xml:space="preserve">CONSTATS PRINCIPAUX</t>
  </si>
  <si>
    <t xml:space="preserve">  1. BACKEND: Les 12 bounded contexts ont leur Domain + Application + Infrastructure implementes (&gt;95%)</t>
  </si>
  <si>
    <t xml:space="preserve">  2. DATABASE: 14 migrations SQL couvrent tous les schemas necessaires</t>
  </si>
  <si>
    <t xml:space="preserve">  3. API REST: 100+ endpoints fonctionnels avec JWT middleware</t>
  </si>
  <si>
    <t xml:space="preserve">  4. FRONTEND: Seulement 4/12 BC ont une UI (Identity, Customer, Account, Governance/Prudential)</t>
  </si>
  <si>
    <t xml:space="preserve">STORIES ADDITIONNELLES CORE BANKING (hors BMAD)</t>
  </si>
  <si>
    <t xml:space="preserve">  1. NOTIFICATIONS &amp; ALERTES (6 stories, ~23h) - Aucun systeme de notification client</t>
  </si>
  <si>
    <t xml:space="preserve">  2. CATALOGUE PRODUITS BANCAIRES (4 stories, ~18h) - Pas de parametrage produits/tarifs</t>
  </si>
  <si>
    <t xml:space="preserve">  3. GESTION CARTES BANCAIRES (6 stories, ~26h) - Module carte absent</t>
  </si>
  <si>
    <t xml:space="preserve">  4. VIREMENTS RECURRENTS &amp; PRELEVEMENTS (3 stories, ~12h) - Pas d'ordres permanents</t>
  </si>
  <si>
    <t xml:space="preserve">  5. MULTI-DEVISE COMPTES (2 stories, ~10h) - Sous-comptes devise manquants</t>
  </si>
  <si>
    <t xml:space="preserve">  6. FRAIS &amp; COMMISSIONS (3 stories, ~11h) - Moteur de frais absent</t>
  </si>
  <si>
    <t xml:space="preserve">  7. GESTION CHEQUES (3 stories, ~11h) - Critique pour marche tunisien</t>
  </si>
  <si>
    <t xml:space="preserve">  8. EVENT BUS INTER-BC (3 stories, ~20h) - Couplage direct entre bounded contexts</t>
  </si>
  <si>
    <t xml:space="preserve">  9. SECURITE AVANCEE &amp; ANTI-FRAUDE (4 stories, ~18h) - Rate limiting, fraude realtime</t>
  </si>
  <si>
    <t xml:space="preserve">  10. BUSINESS INTELLIGENCE (3 stories, ~13h) - Pas de dashboard operationnel</t>
  </si>
  <si>
    <t xml:space="preserve">  11. MOBILE BANKING (3 stories, ~12h) - API mobile non optimisee</t>
  </si>
  <si>
    <t xml:space="preserve">  12. BACKUP &amp; DISASTER RECOVERY (3 stories, ~11h) - Aucun backup automatise</t>
  </si>
  <si>
    <t xml:space="preserve">  13. END-OF-DAY PROCESSING (3 stories, ~14h) - Batch EOD absent (interets, reconciliation)</t>
  </si>
  <si>
    <t xml:space="preserve">  TOTAL: 46 stories supplementaires | ~199h (~24 jours)</t>
  </si>
  <si>
    <t xml:space="preserve">Story ID</t>
  </si>
  <si>
    <t xml:space="preserve">Titre</t>
  </si>
  <si>
    <t xml:space="preserve">Epic/Sprint</t>
  </si>
  <si>
    <t xml:space="preserve">BC</t>
  </si>
  <si>
    <t xml:space="preserve">Taille</t>
  </si>
  <si>
    <t xml:space="preserve">Type</t>
  </si>
  <si>
    <t xml:space="preserve">Statut</t>
  </si>
  <si>
    <t xml:space="preserve">Details du gap</t>
  </si>
  <si>
    <t xml:space="preserve">Priorite</t>
  </si>
  <si>
    <t xml:space="preserve">SPRINT 0 - FONDATIONS</t>
  </si>
  <si>
    <t xml:space="preserve">STORY-T01</t>
  </si>
  <si>
    <t xml:space="preserve">Init repository Git + structure</t>
  </si>
  <si>
    <t xml:space="preserve">Sprint 0</t>
  </si>
  <si>
    <t xml:space="preserve">Governance</t>
  </si>
  <si>
    <t xml:space="preserve">S</t>
  </si>
  <si>
    <t xml:space="preserve">Tech</t>
  </si>
  <si>
    <t xml:space="preserve">DONE</t>
  </si>
  <si>
    <t xml:space="preserve">Structure complete, tous les dossiers existent</t>
  </si>
  <si>
    <t xml:space="preserve">P0</t>
  </si>
  <si>
    <t xml:space="preserve">STORY-T02</t>
  </si>
  <si>
    <t xml:space="preserve">Cargo workspace + dependances core</t>
  </si>
  <si>
    <t xml:space="preserve">Infra</t>
  </si>
  <si>
    <t xml:space="preserve">M</t>
  </si>
  <si>
    <t xml:space="preserve">Workspace multi-crates configure, toutes deps presentes</t>
  </si>
  <si>
    <t xml:space="preserve">STORY-T03</t>
  </si>
  <si>
    <t xml:space="preserve">PostgreSQL Docker + migrations</t>
  </si>
  <si>
    <t xml:space="preserve">Docker Compose + 14 migrations SQL</t>
  </si>
  <si>
    <t xml:space="preserve">STORY-T04</t>
  </si>
  <si>
    <t xml:space="preserve">BDD framework Cucumber + steps</t>
  </si>
  <si>
    <t xml:space="preserve">PARTIEL</t>
  </si>
  <si>
    <t xml:space="preserve">12 .feature files OK, steps impl partielles (10 steps dans bdd.rs)</t>
  </si>
  <si>
    <t xml:space="preserve">STORY-T05</t>
  </si>
  <si>
    <t xml:space="preserve">Astro + Svelte + Tailwind setup</t>
  </si>
  <si>
    <t xml:space="preserve">Frontend</t>
  </si>
  <si>
    <t xml:space="preserve">Astro + Svelte + Tailwind + i18n FR/EN/AR</t>
  </si>
  <si>
    <t xml:space="preserve">STORY-T06</t>
  </si>
  <si>
    <t xml:space="preserve">GitHub Actions CI/CD</t>
  </si>
  <si>
    <t xml:space="preserve">2 workflows: ci.yml + security.yml</t>
  </si>
  <si>
    <t xml:space="preserve">STORY-T07</t>
  </si>
  <si>
    <t xml:space="preserve">Docker Compose prod + Traefik</t>
  </si>
  <si>
    <t xml:space="preserve">L</t>
  </si>
  <si>
    <t xml:space="preserve">Traefik + PostgreSQL + API + Frontend + MinIO + Prometheus + Grafana</t>
  </si>
  <si>
    <t xml:space="preserve">STORY-T08</t>
  </si>
  <si>
    <t xml:space="preserve">Monitoring Prometheus + Grafana</t>
  </si>
  <si>
    <t xml:space="preserve">Docker services OK mais endpoint /metrics non implemente dans Rust</t>
  </si>
  <si>
    <t xml:space="preserve">P1</t>
  </si>
  <si>
    <t xml:space="preserve">STORY-T09</t>
  </si>
  <si>
    <t xml:space="preserve">Domain DTOs shared + Value Objects</t>
  </si>
  <si>
    <t xml:space="preserve">All</t>
  </si>
  <si>
    <t xml:space="preserve">CustomerId, Money, Currency, Rib, EmailAddress, PhoneNumber, DomainError</t>
  </si>
  <si>
    <t xml:space="preserve">STORY-T10</t>
  </si>
  <si>
    <t xml:space="preserve">Security CI (cargo audit + clippy)</t>
  </si>
  <si>
    <t xml:space="preserve">security.yml workflow + deny.toml</t>
  </si>
  <si>
    <t xml:space="preserve">STORY-T11</t>
  </si>
  <si>
    <t xml:space="preserve">Git hooks (pre-commit)</t>
  </si>
  <si>
    <t xml:space="preserve">install-hooks.sh + pre-commit hook</t>
  </si>
  <si>
    <t xml:space="preserve">STORY-T12</t>
  </si>
  <si>
    <t xml:space="preserve">Terraform IaC (OVH Cloud)</t>
  </si>
  <si>
    <t xml:space="preserve">Terraform complet: compute, DB, VPC, storage</t>
  </si>
  <si>
    <t xml:space="preserve">STORY-T13</t>
  </si>
  <si>
    <t xml:space="preserve">Documentation vivante</t>
  </si>
  <si>
    <t xml:space="preserve">README, CONTRIBUTING, GOVERNANCE, SECURITY, GLOSSARY, CODE_OF_CONDUCT</t>
  </si>
  <si>
    <t xml:space="preserve">EPIC 1 - IDENTITY (BC12)</t>
  </si>
  <si>
    <t xml:space="preserve">STORY-ID-01</t>
  </si>
  <si>
    <t xml:space="preserve">Domain: User aggregate + invariants</t>
  </si>
  <si>
    <t xml:space="preserve">Epic 1</t>
  </si>
  <si>
    <t xml:space="preserve">Identity</t>
  </si>
  <si>
    <t xml:space="preserve">Feature</t>
  </si>
  <si>
    <t xml:space="preserve">User entity avec roles, session, 2FA</t>
  </si>
  <si>
    <t xml:space="preserve">STORY-ID-02</t>
  </si>
  <si>
    <t xml:space="preserve">Application: UserService + ports</t>
  </si>
  <si>
    <t xml:space="preserve">IdentityService + SessionService + TwoFactorService</t>
  </si>
  <si>
    <t xml:space="preserve">STORY-ID-03</t>
  </si>
  <si>
    <t xml:space="preserve">Infra: UserRepository PostgreSQL</t>
  </si>
  <si>
    <t xml:space="preserve">PgUserRepository + migrations users/sessions</t>
  </si>
  <si>
    <t xml:space="preserve">STORY-ID-04</t>
  </si>
  <si>
    <t xml:space="preserve">API: POST /auth/register</t>
  </si>
  <si>
    <t xml:space="preserve">Handler register implemente</t>
  </si>
  <si>
    <t xml:space="preserve">STORY-ID-05</t>
  </si>
  <si>
    <t xml:space="preserve">API: POST /auth/login</t>
  </si>
  <si>
    <t xml:space="preserve">Handler login avec JWT generation</t>
  </si>
  <si>
    <t xml:space="preserve">STORY-ID-06</t>
  </si>
  <si>
    <t xml:space="preserve">API: JWT middleware + protected endpoints</t>
  </si>
  <si>
    <t xml:space="preserve">JwtMiddleware complet avec token validation</t>
  </si>
  <si>
    <t xml:space="preserve">STORY-ID-07</t>
  </si>
  <si>
    <t xml:space="preserve">API: POST /users + GET /users/{id}</t>
  </si>
  <si>
    <t xml:space="preserve">Handlers admin user management</t>
  </si>
  <si>
    <t xml:space="preserve">STORY-ID-08</t>
  </si>
  <si>
    <t xml:space="preserve">API: PUT /users/{id}/roles</t>
  </si>
  <si>
    <t xml:space="preserve">Role update existe, audit trail des changements a verifier</t>
  </si>
  <si>
    <t xml:space="preserve">STORY-ID-09</t>
  </si>
  <si>
    <t xml:space="preserve">Feature: 2FA TOTP</t>
  </si>
  <si>
    <t xml:space="preserve">TwoFactorService + TotpService + handlers enable/verify</t>
  </si>
  <si>
    <t xml:space="preserve">STORY-ID-10</t>
  </si>
  <si>
    <t xml:space="preserve">Feature: Session management + expiry</t>
  </si>
  <si>
    <t xml:space="preserve">Sessions existent, cleanup expired non implemente (cron job)</t>
  </si>
  <si>
    <t xml:space="preserve">EPIC 2 - CUSTOMER / KYC (BC1)</t>
  </si>
  <si>
    <t xml:space="preserve">STORY-C01</t>
  </si>
  <si>
    <t xml:space="preserve">Domain: Customer aggregate + KYC</t>
  </si>
  <si>
    <t xml:space="preserve">Epic 2</t>
  </si>
  <si>
    <t xml:space="preserve">Customer</t>
  </si>
  <si>
    <t xml:space="preserve">Customer + KycProfile + Beneficiary + consent + value objects (653 lines)</t>
  </si>
  <si>
    <t xml:space="preserve">STORY-C02</t>
  </si>
  <si>
    <t xml:space="preserve">Application: KycService + ports</t>
  </si>
  <si>
    <t xml:space="preserve">Service + RiskScoring + Consent + DataRights + Retention (702 lines)</t>
  </si>
  <si>
    <t xml:space="preserve">STORY-C03</t>
  </si>
  <si>
    <t xml:space="preserve">Infra: CustomerRepository + KYC table</t>
  </si>
  <si>
    <t xml:space="preserve">PgCustomerRepository + migrations customers/kyc_profiles/beneficiaries</t>
  </si>
  <si>
    <t xml:space="preserve">STORY-C04</t>
  </si>
  <si>
    <t xml:space="preserve">API: POST /customers</t>
  </si>
  <si>
    <t xml:space="preserve">Handler creation + KYC submit</t>
  </si>
  <si>
    <t xml:space="preserve">STORY-C05</t>
  </si>
  <si>
    <t xml:space="preserve">API: GET /customers/{id} + /kyc</t>
  </si>
  <si>
    <t xml:space="preserve">Handlers detail + KYC profile</t>
  </si>
  <si>
    <t xml:space="preserve">STORY-C06</t>
  </si>
  <si>
    <t xml:space="preserve">API: PUT /customers/{id}/kyc</t>
  </si>
  <si>
    <t xml:space="preserve">Handler update KYC</t>
  </si>
  <si>
    <t xml:space="preserve">STORY-C07</t>
  </si>
  <si>
    <t xml:space="preserve">Feature: PEP check</t>
  </si>
  <si>
    <t xml:space="preserve">PepChecker avec fuzzy matching implemente</t>
  </si>
  <si>
    <t xml:space="preserve">STORY-C08</t>
  </si>
  <si>
    <t xml:space="preserve">Feature: Risk scoring</t>
  </si>
  <si>
    <t xml:space="preserve">RiskScoringService existe, versioning regles (v1/v2) manquant</t>
  </si>
  <si>
    <t xml:space="preserve">EPIC 3 - ACCOUNT (BC2)</t>
  </si>
  <si>
    <t xml:space="preserve">STORY-AC-01</t>
  </si>
  <si>
    <t xml:space="preserve">Domain: Account aggregate + invariants</t>
  </si>
  <si>
    <t xml:space="preserve">Epic 3</t>
  </si>
  <si>
    <t xml:space="preserve">Account</t>
  </si>
  <si>
    <t xml:space="preserve">Account + Movement + ValueObjects (646 lines)</t>
  </si>
  <si>
    <t xml:space="preserve">STORY-AC-02</t>
  </si>
  <si>
    <t xml:space="preserve">Application: AccountService</t>
  </si>
  <si>
    <t xml:space="preserve">Service complet (669 lines)</t>
  </si>
  <si>
    <t xml:space="preserve">STORY-AC-03</t>
  </si>
  <si>
    <t xml:space="preserve">Infra: Account + Movement tables</t>
  </si>
  <si>
    <t xml:space="preserve">PgAccountRepository + migrations</t>
  </si>
  <si>
    <t xml:space="preserve">STORY-AC-04</t>
  </si>
  <si>
    <t xml:space="preserve">API: POST /accounts</t>
  </si>
  <si>
    <t xml:space="preserve">Handler account opening</t>
  </si>
  <si>
    <t xml:space="preserve">STORY-AC-05</t>
  </si>
  <si>
    <t xml:space="preserve">API: GET /accounts/{id} + list</t>
  </si>
  <si>
    <t xml:space="preserve">Handlers list + detail</t>
  </si>
  <si>
    <t xml:space="preserve">STORY-AC-06</t>
  </si>
  <si>
    <t xml:space="preserve">API: POST /accounts/{id}/movements</t>
  </si>
  <si>
    <t xml:space="preserve">Handler deposit/withdraw</t>
  </si>
  <si>
    <t xml:space="preserve">STORY-AC-07</t>
  </si>
  <si>
    <t xml:space="preserve">Feature: Balance + available_balance</t>
  </si>
  <si>
    <t xml:space="preserve">Balance tracking avec freeze integration</t>
  </si>
  <si>
    <t xml:space="preserve">STORY-AC-08</t>
  </si>
  <si>
    <t xml:space="preserve">Feature: Account statements + reconciliation</t>
  </si>
  <si>
    <t xml:space="preserve">GET /statement existe, export CSV/PDF non implemente</t>
  </si>
  <si>
    <t xml:space="preserve">P2</t>
  </si>
  <si>
    <t xml:space="preserve">EPIC 4 - CREDIT (BC3)</t>
  </si>
  <si>
    <t xml:space="preserve">STORY-CR-01</t>
  </si>
  <si>
    <t xml:space="preserve">Domain: Loan aggregate + classification</t>
  </si>
  <si>
    <t xml:space="preserve">Epic 4</t>
  </si>
  <si>
    <t xml:space="preserve">Credit</t>
  </si>
  <si>
    <t xml:space="preserve">Loan + Classification IFRS9 + RepaymentSchedule (1014 lines)</t>
  </si>
  <si>
    <t xml:space="preserve">STORY-CR-02</t>
  </si>
  <si>
    <t xml:space="preserve">Application: LoanService + ports</t>
  </si>
  <si>
    <t xml:space="preserve">Service complet (661 lines)</t>
  </si>
  <si>
    <t xml:space="preserve">STORY-CR-03</t>
  </si>
  <si>
    <t xml:space="preserve">Infra: Loan + Schedule tables</t>
  </si>
  <si>
    <t xml:space="preserve">PgCreditRepository + migrations loans/schedules/classifications</t>
  </si>
  <si>
    <t xml:space="preserve">STORY-CR-04</t>
  </si>
  <si>
    <t xml:space="preserve">API: POST /loans</t>
  </si>
  <si>
    <t xml:space="preserve">Handler loan creation</t>
  </si>
  <si>
    <t xml:space="preserve">STORY-CR-05</t>
  </si>
  <si>
    <t xml:space="preserve">API: GET /loans portfolio view</t>
  </si>
  <si>
    <t xml:space="preserve">Handler list + filtres</t>
  </si>
  <si>
    <t xml:space="preserve">STORY-CR-06</t>
  </si>
  <si>
    <t xml:space="preserve">Feature: Automatic asset classification</t>
  </si>
  <si>
    <t xml:space="preserve">Classification automatique par days_past_due</t>
  </si>
  <si>
    <t xml:space="preserve">STORY-CR-07</t>
  </si>
  <si>
    <t xml:space="preserve">Feature: Loan provisioning regulatory</t>
  </si>
  <si>
    <t xml:space="preserve">Provisioning rates par asset class</t>
  </si>
  <si>
    <t xml:space="preserve">STORY-CR-08</t>
  </si>
  <si>
    <t xml:space="preserve">Feature: Repayment scheduling + amortization</t>
  </si>
  <si>
    <t xml:space="preserve">A FAIRE</t>
  </si>
  <si>
    <t xml:space="preserve">Scheduled job Tokio pour batch quotidien non implemente</t>
  </si>
  <si>
    <t xml:space="preserve">EPIC 5 - AML (BC4)</t>
  </si>
  <si>
    <t xml:space="preserve">STORY-AML-01</t>
  </si>
  <si>
    <t xml:space="preserve">Domain: Transaction + Alert aggregate</t>
  </si>
  <si>
    <t xml:space="preserve">Epic 5</t>
  </si>
  <si>
    <t xml:space="preserve">AML</t>
  </si>
  <si>
    <t xml:space="preserve">Transaction + Alert + Investigation + SuspicionReport + AssetFreeze (1204 lines)</t>
  </si>
  <si>
    <t xml:space="preserve">STORY-AML-02</t>
  </si>
  <si>
    <t xml:space="preserve">Application: TransactionMonitoringService</t>
  </si>
  <si>
    <t xml:space="preserve">Service complet + scenarios (1098 lines)</t>
  </si>
  <si>
    <t xml:space="preserve">STORY-AML-03</t>
  </si>
  <si>
    <t xml:space="preserve">Infra: Transaction + Alert tables</t>
  </si>
  <si>
    <t xml:space="preserve">PgAmlRepository + 7 tables append-only (731 lines)</t>
  </si>
  <si>
    <t xml:space="preserve">STORY-AML-04</t>
  </si>
  <si>
    <t xml:space="preserve">API: POST /transactions</t>
  </si>
  <si>
    <t xml:space="preserve">Handlers complets (578 lines)</t>
  </si>
  <si>
    <t xml:space="preserve">STORY-AML-05</t>
  </si>
  <si>
    <t xml:space="preserve">Feature: AML scenarios detection</t>
  </si>
  <si>
    <t xml:space="preserve">Scenarios complexes implementes</t>
  </si>
  <si>
    <t xml:space="preserve">STORY-AML-06</t>
  </si>
  <si>
    <t xml:space="preserve">Feature: Suspicious activity investigation</t>
  </si>
  <si>
    <t xml:space="preserve">Investigation workflow + notes</t>
  </si>
  <si>
    <t xml:space="preserve">STORY-AML-07</t>
  </si>
  <si>
    <t xml:space="preserve">Feature: DOS report + CTAF</t>
  </si>
  <si>
    <t xml:space="preserve">SuspicionReport generation</t>
  </si>
  <si>
    <t xml:space="preserve">STORY-AML-08</t>
  </si>
  <si>
    <t xml:space="preserve">Feature: Asset freeze + workflow</t>
  </si>
  <si>
    <t xml:space="preserve">AssetFreeze domain OK, integration Account available_balance a finaliser</t>
  </si>
  <si>
    <t xml:space="preserve">EPIC 6 - SANCTIONS (BC5)</t>
  </si>
  <si>
    <t xml:space="preserve">STORY-SAN-01</t>
  </si>
  <si>
    <t xml:space="preserve">Domain: SanctionEntry + ScreeningResult</t>
  </si>
  <si>
    <t xml:space="preserve">Epic 6</t>
  </si>
  <si>
    <t xml:space="preserve">Sanctions</t>
  </si>
  <si>
    <t xml:space="preserve">SanctionList + Entry + ScreeningResult (667 lines)</t>
  </si>
  <si>
    <t xml:space="preserve">STORY-SAN-02</t>
  </si>
  <si>
    <t xml:space="preserve">Application: SanctionsScreeningService</t>
  </si>
  <si>
    <t xml:space="preserve">Service + fuzzy matching (551 lines)</t>
  </si>
  <si>
    <t xml:space="preserve">STORY-SAN-03</t>
  </si>
  <si>
    <t xml:space="preserve">Infra: Sanctions list sync</t>
  </si>
  <si>
    <t xml:space="preserve">PgSanctionsRepository + tables</t>
  </si>
  <si>
    <t xml:space="preserve">STORY-SAN-04</t>
  </si>
  <si>
    <t xml:space="preserve">API: GET /sanctions/check</t>
  </si>
  <si>
    <t xml:space="preserve">Handler screening</t>
  </si>
  <si>
    <t xml:space="preserve">STORY-SAN-05</t>
  </si>
  <si>
    <t xml:space="preserve">Feature: Fuzzy matching</t>
  </si>
  <si>
    <t xml:space="preserve">MatchingStrategy + fuzzy_matcher</t>
  </si>
  <si>
    <t xml:space="preserve">STORY-SAN-06</t>
  </si>
  <si>
    <t xml:space="preserve">Feature: Screening on payment (INV-14)</t>
  </si>
  <si>
    <t xml:space="preserve">Integration Payment context</t>
  </si>
  <si>
    <t xml:space="preserve">STORY-SAN-07</t>
  </si>
  <si>
    <t xml:space="preserve">Feature: List update automation</t>
  </si>
  <si>
    <t xml:space="preserve">List management endpoints</t>
  </si>
  <si>
    <t xml:space="preserve">STORY-SAN-08</t>
  </si>
  <si>
    <t xml:space="preserve">Feature: Sanctions dashboard</t>
  </si>
  <si>
    <t xml:space="preserve">Dashboard endpoint existe, frontend UI manquant</t>
  </si>
  <si>
    <t xml:space="preserve">EPIC 7 - PRUDENTIAL (BC6)</t>
  </si>
  <si>
    <t xml:space="preserve">STORY-PRU-01</t>
  </si>
  <si>
    <t xml:space="preserve">Domain: PrudentialRatio aggregate</t>
  </si>
  <si>
    <t xml:space="preserve">Epic 7</t>
  </si>
  <si>
    <t xml:space="preserve">Prudential</t>
  </si>
  <si>
    <t xml:space="preserve">RatioCalculation + SolvencyCheck + Tier1Capital + ConcentrationLimit (1018 lines)</t>
  </si>
  <si>
    <t xml:space="preserve">STORY-PRU-02</t>
  </si>
  <si>
    <t xml:space="preserve">Application: RatioCalculationService</t>
  </si>
  <si>
    <t xml:space="preserve">Service complet (503 lines)</t>
  </si>
  <si>
    <t xml:space="preserve">STORY-PRU-03</t>
  </si>
  <si>
    <t xml:space="preserve">Infra: Ratio tables + snapshots</t>
  </si>
  <si>
    <t xml:space="preserve">PgPrudentialRepository + migrations</t>
  </si>
  <si>
    <t xml:space="preserve">STORY-PRU-04</t>
  </si>
  <si>
    <t xml:space="preserve">API: GET /prudential/ratios</t>
  </si>
  <si>
    <t xml:space="preserve">Handlers ratios + alerts</t>
  </si>
  <si>
    <t xml:space="preserve">STORY-PRU-05</t>
  </si>
  <si>
    <t xml:space="preserve">Feature: Solvency ratio (min 10%)</t>
  </si>
  <si>
    <t xml:space="preserve">Solvency check implemente</t>
  </si>
  <si>
    <t xml:space="preserve">STORY-PRU-06</t>
  </si>
  <si>
    <t xml:space="preserve">Feature: Tier 1 ratio (min 7%)</t>
  </si>
  <si>
    <t xml:space="preserve">Tier1Capital check</t>
  </si>
  <si>
    <t xml:space="preserve">STORY-PRU-07</t>
  </si>
  <si>
    <t xml:space="preserve">Feature: C/D ratio (max 120%)</t>
  </si>
  <si>
    <t xml:space="preserve">CreditDepositRatio check</t>
  </si>
  <si>
    <t xml:space="preserve">STORY-PRU-08</t>
  </si>
  <si>
    <t xml:space="preserve">Feature: Concentration risk (max 25%)</t>
  </si>
  <si>
    <t xml:space="preserve">ConcentrationLimit domain OK, scheduled monitoring non implemente</t>
  </si>
  <si>
    <t xml:space="preserve">EPIC 8 - ACCOUNTING (BC7)</t>
  </si>
  <si>
    <t xml:space="preserve">STORY-ACC-01</t>
  </si>
  <si>
    <t xml:space="preserve">Domain: JournalEntry + Ledger</t>
  </si>
  <si>
    <t xml:space="preserve">Epic 8</t>
  </si>
  <si>
    <t xml:space="preserve">Accounting</t>
  </si>
  <si>
    <t xml:space="preserve">JournalEntry + LedgerAccount + TrialBalance + PeriodClose + ECL (901 lines)</t>
  </si>
  <si>
    <t xml:space="preserve">STORY-ACC-02</t>
  </si>
  <si>
    <t xml:space="preserve">Application: AccountingService</t>
  </si>
  <si>
    <t xml:space="preserve">Service complet (748 lines)</t>
  </si>
  <si>
    <t xml:space="preserve">STORY-ACC-03</t>
  </si>
  <si>
    <t xml:space="preserve">Infra: Accounting tables (NCT)</t>
  </si>
  <si>
    <t xml:space="preserve">PgAccountingRepository + migrations</t>
  </si>
  <si>
    <t xml:space="preserve">STORY-ACC-04</t>
  </si>
  <si>
    <t xml:space="preserve">API: POST /accounting/entries</t>
  </si>
  <si>
    <t xml:space="preserve">Handler manual posting</t>
  </si>
  <si>
    <t xml:space="preserve">STORY-ACC-05</t>
  </si>
  <si>
    <t xml:space="preserve">Feature: Automatic entries</t>
  </si>
  <si>
    <t xml:space="preserve">Entry creation/reversal</t>
  </si>
  <si>
    <t xml:space="preserve">STORY-ACC-06</t>
  </si>
  <si>
    <t xml:space="preserve">Feature: General ledger + trial balance</t>
  </si>
  <si>
    <t xml:space="preserve">Ledger + trial balance endpoints</t>
  </si>
  <si>
    <t xml:space="preserve">STORY-ACC-07</t>
  </si>
  <si>
    <t xml:space="preserve">Feature: Period closing + reconciliation</t>
  </si>
  <si>
    <t xml:space="preserve">PeriodClose implemente</t>
  </si>
  <si>
    <t xml:space="preserve">STORY-ACC-08</t>
  </si>
  <si>
    <t xml:space="preserve">Feature: IFRS 9 ECL staging</t>
  </si>
  <si>
    <t xml:space="preserve">ECL_Staging domain OK, calculs PD/LGD a connecter au Credit BC</t>
  </si>
  <si>
    <t xml:space="preserve">EPIC 9 - GOVERNANCE (BC11)</t>
  </si>
  <si>
    <t xml:space="preserve">STORY-GOV-01</t>
  </si>
  <si>
    <t xml:space="preserve">Domain: AuditTrail aggregate</t>
  </si>
  <si>
    <t xml:space="preserve">Epic 9</t>
  </si>
  <si>
    <t xml:space="preserve">AuditLog + RoleBasedAccess + PolicyManagement + BctCompliance (1006 lines)</t>
  </si>
  <si>
    <t xml:space="preserve">STORY-GOV-02</t>
  </si>
  <si>
    <t xml:space="preserve">Application: AuditService</t>
  </si>
  <si>
    <t xml:space="preserve">Service complet (804 lines)</t>
  </si>
  <si>
    <t xml:space="preserve">STORY-GOV-03</t>
  </si>
  <si>
    <t xml:space="preserve">Infra: Audit tables (append-only)</t>
  </si>
  <si>
    <t xml:space="preserve">PgGovernanceRepository + migrations (617 lines)</t>
  </si>
  <si>
    <t xml:space="preserve">STORY-GOV-04</t>
  </si>
  <si>
    <t xml:space="preserve">API: GET /audit</t>
  </si>
  <si>
    <t xml:space="preserve">Handlers audit + BCT audit (441 lines)</t>
  </si>
  <si>
    <t xml:space="preserve">STORY-GOV-05</t>
  </si>
  <si>
    <t xml:space="preserve">Feature: Audit trail + integrity checks</t>
  </si>
  <si>
    <t xml:space="preserve">Append-only persistence</t>
  </si>
  <si>
    <t xml:space="preserve">STORY-GOV-06</t>
  </si>
  <si>
    <t xml:space="preserve">Feature: Compliance reports (3 lines defense)</t>
  </si>
  <si>
    <t xml:space="preserve">BCT compliance reporting</t>
  </si>
  <si>
    <t xml:space="preserve">STORY-GOV-07</t>
  </si>
  <si>
    <t xml:space="preserve">Feature: Committee governance</t>
  </si>
  <si>
    <t xml:space="preserve">PolicyManagement domain OK, workflow comite non implemente</t>
  </si>
  <si>
    <t xml:space="preserve">STORY-GOV-08</t>
  </si>
  <si>
    <t xml:space="preserve">Feature: Control checks + sign-off</t>
  </si>
  <si>
    <t xml:space="preserve">Non implemente - workflow de validation des controles</t>
  </si>
  <si>
    <t xml:space="preserve">STORY-AUD-01</t>
  </si>
  <si>
    <t xml:space="preserve">API: Audit trail portal BCT</t>
  </si>
  <si>
    <t xml:space="preserve">BCT audit handlers implementes</t>
  </si>
  <si>
    <t xml:space="preserve">STORY-AUD-02</t>
  </si>
  <si>
    <t xml:space="preserve">Feature: Audit dashboard supervisors</t>
  </si>
  <si>
    <t xml:space="preserve">Frontend AuditDashboard + AuditLogPage</t>
  </si>
  <si>
    <t xml:space="preserve">EPIC 10 - REPORTING (BC8)</t>
  </si>
  <si>
    <t xml:space="preserve">STORY-REP-01</t>
  </si>
  <si>
    <t xml:space="preserve">Domain: RegulatoryReport aggregate</t>
  </si>
  <si>
    <t xml:space="preserve">Epic 10</t>
  </si>
  <si>
    <t xml:space="preserve">Reporting</t>
  </si>
  <si>
    <t xml:space="preserve">Report + Template + FormSubmission + IfrsSubmission (664 lines)</t>
  </si>
  <si>
    <t xml:space="preserve">STORY-REP-02</t>
  </si>
  <si>
    <t xml:space="preserve">Application: ReportingService</t>
  </si>
  <si>
    <t xml:space="preserve">Service complet (301 lines)</t>
  </si>
  <si>
    <t xml:space="preserve">STORY-REP-03</t>
  </si>
  <si>
    <t xml:space="preserve">Infra: Report tables + generation</t>
  </si>
  <si>
    <t xml:space="preserve">PgReportingRepository + migrations</t>
  </si>
  <si>
    <t xml:space="preserve">STORY-REP-04</t>
  </si>
  <si>
    <t xml:space="preserve">API: GET /reporting/forms</t>
  </si>
  <si>
    <t xml:space="preserve">Handlers reports + templates</t>
  </si>
  <si>
    <t xml:space="preserve">STORY-REP-05</t>
  </si>
  <si>
    <t xml:space="preserve">Feature: BCT forms generation</t>
  </si>
  <si>
    <t xml:space="preserve">Generate + validate + submit</t>
  </si>
  <si>
    <t xml:space="preserve">STORY-REP-06</t>
  </si>
  <si>
    <t xml:space="preserve">Feature: Report submission + acknowledgment</t>
  </si>
  <si>
    <t xml:space="preserve">Acknowledge endpoint</t>
  </si>
  <si>
    <t xml:space="preserve">STORY-REP-07</t>
  </si>
  <si>
    <t xml:space="preserve">Feature: Audit logs for reporting</t>
  </si>
  <si>
    <t xml:space="preserve">Audit integration</t>
  </si>
  <si>
    <t xml:space="preserve">STORY-REP-08</t>
  </si>
  <si>
    <t xml:space="preserve">Feature: IFRS 9 reporting prep</t>
  </si>
  <si>
    <t xml:space="preserve">IFRS9 handler existe, connexion donnees ECL Accounting incomplete</t>
  </si>
  <si>
    <t xml:space="preserve">EPIC 11 - PAYMENT (BC9)</t>
  </si>
  <si>
    <t xml:space="preserve">STORY-PAY-01</t>
  </si>
  <si>
    <t xml:space="preserve">Domain: PaymentOrder aggregate</t>
  </si>
  <si>
    <t xml:space="preserve">Epic 11</t>
  </si>
  <si>
    <t xml:space="preserve">Payment</t>
  </si>
  <si>
    <t xml:space="preserve">Payment + Screen + ClearingRun + Settlement (1135 lines)</t>
  </si>
  <si>
    <t xml:space="preserve">STORY-PAY-02</t>
  </si>
  <si>
    <t xml:space="preserve">Application: PaymentService</t>
  </si>
  <si>
    <t xml:space="preserve">Service complet (747 lines)</t>
  </si>
  <si>
    <t xml:space="preserve">STORY-PAY-03</t>
  </si>
  <si>
    <t xml:space="preserve">Infra: Payment tables</t>
  </si>
  <si>
    <t xml:space="preserve">PgPaymentRepository + migrations</t>
  </si>
  <si>
    <t xml:space="preserve">STORY-PAY-04</t>
  </si>
  <si>
    <t xml:space="preserve">API: POST /payments/transfers</t>
  </si>
  <si>
    <t xml:space="preserve">Handlers payment lifecycle</t>
  </si>
  <si>
    <t xml:space="preserve">STORY-PAY-05</t>
  </si>
  <si>
    <t xml:space="preserve">Feature: SWIFT integration (ISO 20022)</t>
  </si>
  <si>
    <t xml:space="preserve">Stub ISO 20022 present</t>
  </si>
  <si>
    <t xml:space="preserve">STORY-PAY-06</t>
  </si>
  <si>
    <t xml:space="preserve">Feature: Clearing &amp; compensation</t>
  </si>
  <si>
    <t xml:space="preserve">ClearingRun implemente</t>
  </si>
  <si>
    <t xml:space="preserve">STORY-PAY-07</t>
  </si>
  <si>
    <t xml:space="preserve">Feature: Payment status tracking</t>
  </si>
  <si>
    <t xml:space="preserve">Status endpoint</t>
  </si>
  <si>
    <t xml:space="preserve">STORY-PAY-08</t>
  </si>
  <si>
    <t xml:space="preserve">Feature: Sanctions screening on payment</t>
  </si>
  <si>
    <t xml:space="preserve">PaymentScreen domain OK, integration real-time Sanctions BC incomplete</t>
  </si>
  <si>
    <t xml:space="preserve">EPIC 12 - FOREIGN EXCHANGE (BC10)</t>
  </si>
  <si>
    <t xml:space="preserve">STORY-FX-01</t>
  </si>
  <si>
    <t xml:space="preserve">Domain: FxOperation aggregate</t>
  </si>
  <si>
    <t xml:space="preserve">Epic 12</t>
  </si>
  <si>
    <t xml:space="preserve">FX</t>
  </si>
  <si>
    <t xml:space="preserve">FxOperation + ExchangeRate + FxPosition + DailyLimit (851 lines)</t>
  </si>
  <si>
    <t xml:space="preserve">STORY-FX-02</t>
  </si>
  <si>
    <t xml:space="preserve">Application: FxService (Loi 76-18)</t>
  </si>
  <si>
    <t xml:space="preserve">Service complet (514 lines)</t>
  </si>
  <si>
    <t xml:space="preserve">STORY-FX-03</t>
  </si>
  <si>
    <t xml:space="preserve">Infra: FX tables</t>
  </si>
  <si>
    <t xml:space="preserve">PgFxRepository + migrations</t>
  </si>
  <si>
    <t xml:space="preserve">STORY-FX-04</t>
  </si>
  <si>
    <t xml:space="preserve">API: POST /fx/operations</t>
  </si>
  <si>
    <t xml:space="preserve">Handlers operations + rates</t>
  </si>
  <si>
    <t xml:space="preserve">STORY-FX-05</t>
  </si>
  <si>
    <t xml:space="preserve">Feature: Exchange rate management</t>
  </si>
  <si>
    <t xml:space="preserve">Rate management endpoints</t>
  </si>
  <si>
    <t xml:space="preserve">STORY-FX-06</t>
  </si>
  <si>
    <t xml:space="preserve">Feature: FX position monitoring</t>
  </si>
  <si>
    <t xml:space="preserve">Position tracking</t>
  </si>
  <si>
    <t xml:space="preserve">STORY-FX-07</t>
  </si>
  <si>
    <t xml:space="preserve">Feature: Compliance Loi 76-18</t>
  </si>
  <si>
    <t xml:space="preserve">Compliance checks</t>
  </si>
  <si>
    <t xml:space="preserve">STORY-FX-08</t>
  </si>
  <si>
    <t xml:space="preserve">Feature: Daily limits enforcement</t>
  </si>
  <si>
    <t xml:space="preserve">DailyLimit domain OK, scheduled enforcement non implemente</t>
  </si>
  <si>
    <t xml:space="preserve">FRONTEND UI STORIES</t>
  </si>
  <si>
    <t xml:space="preserve">STORY-F-Auth</t>
  </si>
  <si>
    <t xml:space="preserve">Authentication &amp; Authorization UI</t>
  </si>
  <si>
    <t xml:space="preserve">LoginForm + RegisterForm + TwoFactorSetup</t>
  </si>
  <si>
    <t xml:space="preserve">STORY-F-Customer</t>
  </si>
  <si>
    <t xml:space="preserve">Customer Management &amp; KYC Form</t>
  </si>
  <si>
    <t xml:space="preserve">KycWizard 5 etapes complet</t>
  </si>
  <si>
    <t xml:space="preserve">STORY-F-Accounts</t>
  </si>
  <si>
    <t xml:space="preserve">Account Dashboard &amp; Operations</t>
  </si>
  <si>
    <t xml:space="preserve">AccountListPage + Detail + Movements + Transfer</t>
  </si>
  <si>
    <t xml:space="preserve">STORY-F-Dashboards</t>
  </si>
  <si>
    <t xml:space="preserve">Risk &amp; Prudential Dashboards</t>
  </si>
  <si>
    <t xml:space="preserve">RiskDashboard OK, dashboards Credit/AML/Payment manquants</t>
  </si>
  <si>
    <t xml:space="preserve">STORY-F-Audit</t>
  </si>
  <si>
    <t xml:space="preserve">Audit Trail Viewer</t>
  </si>
  <si>
    <t xml:space="preserve">AuditLogPage OK, BCT audit-bct page OK, filtres a enrichir</t>
  </si>
  <si>
    <t xml:space="preserve">STORY-F-RTL</t>
  </si>
  <si>
    <t xml:space="preserve">RTL Support for Arabic UI</t>
  </si>
  <si>
    <t xml:space="preserve">i18n</t>
  </si>
  <si>
    <t xml:space="preserve">rtl.css existe mais integration incomplete dans composants</t>
  </si>
  <si>
    <t xml:space="preserve">INTERNATIONALISATION (i18n)</t>
  </si>
  <si>
    <t xml:space="preserve">STORY-I18N-01</t>
  </si>
  <si>
    <t xml:space="preserve">i18n Framework Setup</t>
  </si>
  <si>
    <t xml:space="preserve">Transversal</t>
  </si>
  <si>
    <t xml:space="preserve">i18n.ts + fr.json + en.json + ar.json</t>
  </si>
  <si>
    <t xml:space="preserve">STORY-I18N-02</t>
  </si>
  <si>
    <t xml:space="preserve">Translation Keys - Identity</t>
  </si>
  <si>
    <t xml:space="preserve">Content</t>
  </si>
  <si>
    <t xml:space="preserve">Cles de traduction presentes</t>
  </si>
  <si>
    <t xml:space="preserve">STORY-I18N-03</t>
  </si>
  <si>
    <t xml:space="preserve">Translation Keys - Customer</t>
  </si>
  <si>
    <t xml:space="preserve">STORY-I18N-04</t>
  </si>
  <si>
    <t xml:space="preserve">Translation Keys - Account</t>
  </si>
  <si>
    <t xml:space="preserve">Cles partielles, manque messages erreur</t>
  </si>
  <si>
    <t xml:space="preserve">STORY-I18N-05</t>
  </si>
  <si>
    <t xml:space="preserve">RTL CSS &amp; Layout Fixes</t>
  </si>
  <si>
    <t xml:space="preserve">rtl.css existe, layout bugs probables</t>
  </si>
  <si>
    <t xml:space="preserve">STORY-I18N-06</t>
  </si>
  <si>
    <t xml:space="preserve">Arabic (Tunisian) Review</t>
  </si>
  <si>
    <t xml:space="preserve">Review native speaker necessaire</t>
  </si>
  <si>
    <t xml:space="preserve">STORY-I18N-07</t>
  </si>
  <si>
    <t xml:space="preserve">Form Validation Messages (3 langues)</t>
  </si>
  <si>
    <t xml:space="preserve">Messages validation non traduits</t>
  </si>
  <si>
    <t xml:space="preserve">STORY-I18N-08</t>
  </si>
  <si>
    <t xml:space="preserve">Date/Currency Formatting</t>
  </si>
  <si>
    <t xml:space="preserve">TND/EUR/USD formatting non implemente</t>
  </si>
  <si>
    <t xml:space="preserve">HORIZONTAL (RETENTION / CONSENT)</t>
  </si>
  <si>
    <t xml:space="preserve">STORY-RET-01</t>
  </si>
  <si>
    <t xml:space="preserve">Feature: Data Retention (INV-10)</t>
  </si>
  <si>
    <t xml:space="preserve">Horizontal</t>
  </si>
  <si>
    <t xml:space="preserve">RetentionService implemente</t>
  </si>
  <si>
    <t xml:space="preserve">STORY-CONS-01</t>
  </si>
  <si>
    <t xml:space="preserve">Feature: INPDP Consent Management</t>
  </si>
  <si>
    <t xml:space="preserve">ConsentService + ConsentRepository + handlers</t>
  </si>
  <si>
    <t xml:space="preserve">STORY-CONS-02</t>
  </si>
  <si>
    <t xml:space="preserve">Feature: INPDP Rights Management</t>
  </si>
  <si>
    <t xml:space="preserve">DataRightsService existe, portabilite export a finaliser</t>
  </si>
  <si>
    <t xml:space="preserve">COMPLIANCE ISO 27001 / INPDP (BC13)</t>
  </si>
  <si>
    <t xml:space="preserve">STORY-COMP-01</t>
  </si>
  <si>
    <t xml:space="preserve">Domain: SmsiControl, RiskEntry</t>
  </si>
  <si>
    <t xml:space="preserve">Compliance</t>
  </si>
  <si>
    <t xml:space="preserve">BC13</t>
  </si>
  <si>
    <t xml:space="preserve">Non implemente - entites SMSI manquantes</t>
  </si>
  <si>
    <t xml:space="preserve">STORY-COMP-02</t>
  </si>
  <si>
    <t xml:space="preserve">Domain: TokenVault PCI DSS (INV-16)</t>
  </si>
  <si>
    <t xml:space="preserve">Non implemente - chiffrement tokenisation</t>
  </si>
  <si>
    <t xml:space="preserve">STORY-COMP-03</t>
  </si>
  <si>
    <t xml:space="preserve">Application: ComplianceService</t>
  </si>
  <si>
    <t xml:space="preserve">Non implemente - service compliance central</t>
  </si>
  <si>
    <t xml:space="preserve">STORY-COMP-04</t>
  </si>
  <si>
    <t xml:space="preserve">Infra: Tables compliance + migrations</t>
  </si>
  <si>
    <t xml:space="preserve">Non implemente - schema DB compliance</t>
  </si>
  <si>
    <t xml:space="preserve">STORY-COMP-05</t>
  </si>
  <si>
    <t xml:space="preserve">API: Endpoints SMSI ISO 27001</t>
  </si>
  <si>
    <t xml:space="preserve">Non implemente - endpoints controles SMSI</t>
  </si>
  <si>
    <t xml:space="preserve">STORY-COMP-06</t>
  </si>
  <si>
    <t xml:space="preserve">Domain: Consent aggregate (INV-19)</t>
  </si>
  <si>
    <t xml:space="preserve">ConsentRecord existe dans Customer, a migrer vers BC13</t>
  </si>
  <si>
    <t xml:space="preserve">STORY-COMP-07</t>
  </si>
  <si>
    <t xml:space="preserve">API: Consent Management + Dashboard</t>
  </si>
  <si>
    <t xml:space="preserve">Handlers existent dans Customer, dashboard client manquant</t>
  </si>
  <si>
    <t xml:space="preserve">STORY-COMP-08</t>
  </si>
  <si>
    <t xml:space="preserve">Feature: DPIA + Notification violations</t>
  </si>
  <si>
    <t xml:space="preserve">Non implemente - DPIA et notifications breaches</t>
  </si>
  <si>
    <t xml:space="preserve">STORY-COMP-09</t>
  </si>
  <si>
    <t xml:space="preserve">Feature: Portabilite + effacement</t>
  </si>
  <si>
    <t xml:space="preserve">DataRightsService partiel, effacement non implemente</t>
  </si>
  <si>
    <t xml:space="preserve">STORY-COMP-10</t>
  </si>
  <si>
    <t xml:space="preserve">Feature: Integration goAML (CTAF)</t>
  </si>
  <si>
    <t xml:space="preserve">BC13+AML</t>
  </si>
  <si>
    <t xml:space="preserve">Non implemente - format goAML XML</t>
  </si>
  <si>
    <t xml:space="preserve">STORY-COMP-11</t>
  </si>
  <si>
    <t xml:space="preserve">Feature: Integration TuniCheque</t>
  </si>
  <si>
    <t xml:space="preserve">BC13+Payment</t>
  </si>
  <si>
    <t xml:space="preserve">Non implemente - Circ. 2025-03</t>
  </si>
  <si>
    <t xml:space="preserve">STORY-COMP-12</t>
  </si>
  <si>
    <t xml:space="preserve">Feature: e-KYC biometrique</t>
  </si>
  <si>
    <t xml:space="preserve">BC13+Identity</t>
  </si>
  <si>
    <t xml:space="preserve">Non implemente - Circ. 2025-06</t>
  </si>
  <si>
    <t xml:space="preserve">STORY-COMP-13</t>
  </si>
  <si>
    <t xml:space="preserve">Feature: Travel Rule R.16 (INV-20)</t>
  </si>
  <si>
    <t xml:space="preserve">Non implemente - donnees originateur/beneficiaire</t>
  </si>
  <si>
    <t xml:space="preserve">STORY-COMP-14</t>
  </si>
  <si>
    <t xml:space="preserve">Feature: MFA pour acces CDE (INV-17)</t>
  </si>
  <si>
    <t xml:space="preserve">2FA TOTP implemente couvre ce besoin</t>
  </si>
  <si>
    <t xml:space="preserve">STORY-COMP-15</t>
  </si>
  <si>
    <t xml:space="preserve">Feature: Open Banking APIs (PSD3)</t>
  </si>
  <si>
    <t xml:space="preserve">Non implemente - API open banking</t>
  </si>
  <si>
    <t xml:space="preserve">P3</t>
  </si>
  <si>
    <t xml:space="preserve">#</t>
  </si>
  <si>
    <t xml:space="preserve">Sprint</t>
  </si>
  <si>
    <t xml:space="preserve">Effort (h)</t>
  </si>
  <si>
    <t xml:space="preserve">Dependances</t>
  </si>
  <si>
    <t xml:space="preserve">Categorie gap</t>
  </si>
  <si>
    <t xml:space="preserve">SPRINT A: FINALISER LES PARTIELS BACKEND (P0/P1)</t>
  </si>
  <si>
    <t xml:space="preserve">Completer BDD step definitions (12 BC)</t>
  </si>
  <si>
    <t xml:space="preserve">A</t>
  </si>
  <si>
    <t xml:space="preserve">Aucune</t>
  </si>
  <si>
    <t xml:space="preserve">Tests</t>
  </si>
  <si>
    <t xml:space="preserve">Implementer endpoint /metrics Prometheus dans Rust</t>
  </si>
  <si>
    <t xml:space="preserve">Monitoring</t>
  </si>
  <si>
    <t xml:space="preserve">Session cleanup expired (cron job Tokio)</t>
  </si>
  <si>
    <t xml:space="preserve">Securite</t>
  </si>
  <si>
    <t xml:space="preserve">Audit trail changement de roles</t>
  </si>
  <si>
    <t xml:space="preserve">Risk scoring versioning (v1/v2 regles)</t>
  </si>
  <si>
    <t xml:space="preserve">Metier</t>
  </si>
  <si>
    <t xml:space="preserve">SPRINT B: FEATURES BACKEND MANQUANTES (P1)</t>
  </si>
  <si>
    <t xml:space="preserve">Batch job classification quotidien (Tokio)</t>
  </si>
  <si>
    <t xml:space="preserve">B</t>
  </si>
  <si>
    <t xml:space="preserve">Integration AssetFreeze &lt;&gt; Account balance</t>
  </si>
  <si>
    <t xml:space="preserve">AML+Account</t>
  </si>
  <si>
    <t xml:space="preserve">ECL staging connexion Credit BC (PD/LGD)</t>
  </si>
  <si>
    <t xml:space="preserve">Reglementaire</t>
  </si>
  <si>
    <t xml:space="preserve">Concentration monitoring schedule</t>
  </si>
  <si>
    <t xml:space="preserve">Sanctions screening real-time sur paiements</t>
  </si>
  <si>
    <t xml:space="preserve">Payment+Sanctions</t>
  </si>
  <si>
    <t xml:space="preserve">IFRS 9 reporting data pipeline ECL</t>
  </si>
  <si>
    <t xml:space="preserve">#8 (ACC-08)</t>
  </si>
  <si>
    <t xml:space="preserve">Daily limits enforcement scheduled</t>
  </si>
  <si>
    <t xml:space="preserve">Export releves CSV + PDF</t>
  </si>
  <si>
    <t xml:space="preserve">UX</t>
  </si>
  <si>
    <t xml:space="preserve">Portabilite donnees export complet</t>
  </si>
  <si>
    <t xml:space="preserve">RGPD/INPDP</t>
  </si>
  <si>
    <t xml:space="preserve">SPRINT C: COMPLIANCE BC13 - ISO 27001 / INPDP (P1)</t>
  </si>
  <si>
    <t xml:space="preserve">Entites SMSI (SmsiControl, RiskEntry)</t>
  </si>
  <si>
    <t xml:space="preserve">C</t>
  </si>
  <si>
    <t xml:space="preserve">ISO 27001</t>
  </si>
  <si>
    <t xml:space="preserve">TokenVault chiffrement PCI DSS</t>
  </si>
  <si>
    <t xml:space="preserve">PCI DSS</t>
  </si>
  <si>
    <t xml:space="preserve">ComplianceService + ports</t>
  </si>
  <si>
    <t xml:space="preserve">#15 #16</t>
  </si>
  <si>
    <t xml:space="preserve">Tables compliance + migrations SQL</t>
  </si>
  <si>
    <t xml:space="preserve">#17</t>
  </si>
  <si>
    <t xml:space="preserve">Endpoints SMSI ISO 27001</t>
  </si>
  <si>
    <t xml:space="preserve">#18</t>
  </si>
  <si>
    <t xml:space="preserve">Migrer Consent vers BC13</t>
  </si>
  <si>
    <t xml:space="preserve">INPDP</t>
  </si>
  <si>
    <t xml:space="preserve">Dashboard client consentement</t>
  </si>
  <si>
    <t xml:space="preserve">#20</t>
  </si>
  <si>
    <t xml:space="preserve">DPIA + Notification violations</t>
  </si>
  <si>
    <t xml:space="preserve">Portabilite + droit a effacement</t>
  </si>
  <si>
    <t xml:space="preserve">SPRINT D: INTEGRATIONS EXTERNES (P2)</t>
  </si>
  <si>
    <t xml:space="preserve">Integration goAML format XML (CTAF)</t>
  </si>
  <si>
    <t xml:space="preserve">D</t>
  </si>
  <si>
    <t xml:space="preserve">#19, AML-07</t>
  </si>
  <si>
    <t xml:space="preserve">Integration TuniCheque (Circ. 2025-03)</t>
  </si>
  <si>
    <t xml:space="preserve">#19</t>
  </si>
  <si>
    <t xml:space="preserve">Travel Rule R.16 donnees paiement</t>
  </si>
  <si>
    <t xml:space="preserve">PAY-04</t>
  </si>
  <si>
    <t xml:space="preserve">e-KYC biometrique (Circ. 2025-06)</t>
  </si>
  <si>
    <t xml:space="preserve">ID-01</t>
  </si>
  <si>
    <t xml:space="preserve">Innovation</t>
  </si>
  <si>
    <t xml:space="preserve">SPRINT E: FRONTEND - PAGES MANQUANTES (P1/P2)</t>
  </si>
  <si>
    <t xml:space="preserve">Dashboards Credit/AML/Payment</t>
  </si>
  <si>
    <t xml:space="preserve">E</t>
  </si>
  <si>
    <t xml:space="preserve">API backend OK</t>
  </si>
  <si>
    <t xml:space="preserve">Sanctions screening dashboard UI</t>
  </si>
  <si>
    <t xml:space="preserve">RTL Arabic integration complete</t>
  </si>
  <si>
    <t xml:space="preserve">I18N-05</t>
  </si>
  <si>
    <t xml:space="preserve">TND/EUR/USD currency formatting</t>
  </si>
  <si>
    <t xml:space="preserve">I18N-01</t>
  </si>
  <si>
    <t xml:space="preserve">Translation keys Account (erreurs)</t>
  </si>
  <si>
    <t xml:space="preserve">RTL CSS fixes layout</t>
  </si>
  <si>
    <t xml:space="preserve">Form validation messages 3 langues</t>
  </si>
  <si>
    <t xml:space="preserve">Arabic review par native speaker</t>
  </si>
  <si>
    <t xml:space="preserve">SPRINT F: GOVERNANCE + NICE-TO-HAVE (P2/P3)</t>
  </si>
  <si>
    <t xml:space="preserve">Workflow comite governance</t>
  </si>
  <si>
    <t xml:space="preserve">F</t>
  </si>
  <si>
    <t xml:space="preserve">GOV-01</t>
  </si>
  <si>
    <t xml:space="preserve">Gouvernance</t>
  </si>
  <si>
    <t xml:space="preserve">Control checks + sign-off</t>
  </si>
  <si>
    <t xml:space="preserve">GOV-07</t>
  </si>
  <si>
    <t xml:space="preserve">Open Banking APIs (PSD3-ready)</t>
  </si>
  <si>
    <t xml:space="preserve">Tous les BC core</t>
  </si>
  <si>
    <t xml:space="preserve">Enrichir filtres audit viewer</t>
  </si>
  <si>
    <t xml:space="preserve">-</t>
  </si>
  <si>
    <t xml:space="preserve">CHANGELOG.md + docs/METRICS.md</t>
  </si>
  <si>
    <t xml:space="preserve">Docs</t>
  </si>
  <si>
    <t xml:space="preserve">Documentation</t>
  </si>
  <si>
    <t xml:space="preserve">~20 jours de travail</t>
  </si>
  <si>
    <t xml:space="preserve">Bounded Context</t>
  </si>
  <si>
    <t xml:space="preserve">Domain</t>
  </si>
  <si>
    <t xml:space="preserve">Application</t>
  </si>
  <si>
    <t xml:space="preserve">Infrastructure</t>
  </si>
  <si>
    <t xml:space="preserve">Database</t>
  </si>
  <si>
    <t xml:space="preserve">Tests BDD</t>
  </si>
  <si>
    <t xml:space="preserve">Score global</t>
  </si>
  <si>
    <t xml:space="preserve">Gap principal</t>
  </si>
  <si>
    <t xml:space="preserve">Identity (BC12)</t>
  </si>
  <si>
    <t xml:space="preserve">90%</t>
  </si>
  <si>
    <t xml:space="preserve">100%</t>
  </si>
  <si>
    <t xml:space="preserve">70%</t>
  </si>
  <si>
    <t xml:space="preserve">Session cleanup, audit roles</t>
  </si>
  <si>
    <t xml:space="preserve">Customer (BC1)</t>
  </si>
  <si>
    <t xml:space="preserve">95%</t>
  </si>
  <si>
    <t xml:space="preserve">Risk scoring versioning</t>
  </si>
  <si>
    <t xml:space="preserve">Account (BC2)</t>
  </si>
  <si>
    <t xml:space="preserve">Export CSV/PDF releves</t>
  </si>
  <si>
    <t xml:space="preserve">Credit (BC3)</t>
  </si>
  <si>
    <t xml:space="preserve">10%</t>
  </si>
  <si>
    <t xml:space="preserve">Batch job + frontend</t>
  </si>
  <si>
    <t xml:space="preserve">AML (BC4)</t>
  </si>
  <si>
    <t xml:space="preserve">Freeze&lt;&gt;balance + frontend</t>
  </si>
  <si>
    <t xml:space="preserve">Sanctions (BC5)</t>
  </si>
  <si>
    <t xml:space="preserve">Dashboard UI</t>
  </si>
  <si>
    <t xml:space="preserve">Prudential (BC6)</t>
  </si>
  <si>
    <t xml:space="preserve">60%</t>
  </si>
  <si>
    <t xml:space="preserve">Concentration monitoring</t>
  </si>
  <si>
    <t xml:space="preserve">Accounting (BC7)</t>
  </si>
  <si>
    <t xml:space="preserve">ECL staging connexion</t>
  </si>
  <si>
    <t xml:space="preserve">Reporting (BC8)</t>
  </si>
  <si>
    <t xml:space="preserve">IFRS9 data pipeline</t>
  </si>
  <si>
    <t xml:space="preserve">Payment (BC9)</t>
  </si>
  <si>
    <t xml:space="preserve">Sanctions realtime + frontend</t>
  </si>
  <si>
    <t xml:space="preserve">ForeignExchange (BC10)</t>
  </si>
  <si>
    <t xml:space="preserve">Daily limits + frontend</t>
  </si>
  <si>
    <t xml:space="preserve">Governance (BC11)</t>
  </si>
  <si>
    <t xml:space="preserve">80%</t>
  </si>
  <si>
    <t xml:space="preserve">Comite + sign-off</t>
  </si>
  <si>
    <t xml:space="preserve">Compliance (BC13)</t>
  </si>
  <si>
    <t xml:space="preserve">15%</t>
  </si>
  <si>
    <t xml:space="preserve">0%</t>
  </si>
  <si>
    <t xml:space="preserve">Contexte entier a creer</t>
  </si>
  <si>
    <t xml:space="preserve">Justification</t>
  </si>
  <si>
    <t xml:space="preserve">Sprint suggere</t>
  </si>
  <si>
    <t xml:space="preserve">MODULE NOTIFICATIONS &amp; ALERTES</t>
  </si>
  <si>
    <t xml:space="preserve">STORY-NOT-01</t>
  </si>
  <si>
    <t xml:space="preserve">Domain: Notification aggregate (Email/SMS/Push)</t>
  </si>
  <si>
    <t xml:space="preserve">Tout core banking doit notifier les clients. Aucun module notification dans BANKO.</t>
  </si>
  <si>
    <t xml:space="preserve">G</t>
  </si>
  <si>
    <t xml:space="preserve">STORY-NOT-02</t>
  </si>
  <si>
    <t xml:space="preserve">Application: NotificationService + templates</t>
  </si>
  <si>
    <t xml:space="preserve">Service d'orchestration avec templates multilingues (FR/EN/AR)</t>
  </si>
  <si>
    <t xml:space="preserve">STORY-NOT-03</t>
  </si>
  <si>
    <t xml:space="preserve">Infra: Provider Email (SMTP/SendGrid) + SMS gateway</t>
  </si>
  <si>
    <t xml:space="preserve">Adaptateurs pour envoi reel. SMS critique pour Tunisie (2FA, alertes)</t>
  </si>
  <si>
    <t xml:space="preserve">STORY-NOT-04</t>
  </si>
  <si>
    <t xml:space="preserve">Infra: Tables + queue async (Tokio tasks)</t>
  </si>
  <si>
    <t xml:space="preserve">Persistance + retry + queue asynchrone pour fiabilite</t>
  </si>
  <si>
    <t xml:space="preserve">STORY-NOT-05</t>
  </si>
  <si>
    <t xml:space="preserve">Feature: Preferences client (opt-in/opt-out canaux)</t>
  </si>
  <si>
    <t xml:space="preserve">INPDP/RGPD: le client doit choisir ses canaux de notification</t>
  </si>
  <si>
    <t xml:space="preserve">STORY-NOT-06</t>
  </si>
  <si>
    <t xml:space="preserve">Feature: Alertes transactionnelles temps reel</t>
  </si>
  <si>
    <t xml:space="preserve">Alertes debit/credit, seuil depasse, tentative login suspecte</t>
  </si>
  <si>
    <t xml:space="preserve">MODULE CATALOGUE PRODUITS BANCAIRES</t>
  </si>
  <si>
    <t xml:space="preserve">STORY-PROD-01</t>
  </si>
  <si>
    <t xml:space="preserve">Domain: Product aggregate (taux, frais, conditions)</t>
  </si>
  <si>
    <t xml:space="preserve">Account+Credit</t>
  </si>
  <si>
    <t xml:space="preserve">Un CBS doit parametrer ses produits (compte courant, epargne, DAT, credit conso, immo...)</t>
  </si>
  <si>
    <t xml:space="preserve">H</t>
  </si>
  <si>
    <t xml:space="preserve">STORY-PROD-02</t>
  </si>
  <si>
    <t xml:space="preserve">Application: ProductService + pricing engine</t>
  </si>
  <si>
    <t xml:space="preserve">Moteur de tarification: frais tenue compte, commissions, taux</t>
  </si>
  <si>
    <t xml:space="preserve">STORY-PROD-03</t>
  </si>
  <si>
    <t xml:space="preserve">Feature: Grille tarifaire configurable</t>
  </si>
  <si>
    <t xml:space="preserve">Admin configure les frais par produit, segment client, devise</t>
  </si>
  <si>
    <t xml:space="preserve">STORY-PROD-04</t>
  </si>
  <si>
    <t xml:space="preserve">Feature: Calcul interets automatique (DAT, epargne)</t>
  </si>
  <si>
    <t xml:space="preserve">Interets credites periodiquement (daily accrual, monthly posting)</t>
  </si>
  <si>
    <t xml:space="preserve">MODULE GESTION CARTES BANCAIRES</t>
  </si>
  <si>
    <t xml:space="preserve">STORY-CARD-01</t>
  </si>
  <si>
    <t xml:space="preserve">Domain: Card aggregate (emission, activation, blocage)</t>
  </si>
  <si>
    <t xml:space="preserve">Gestion cartes debit/credit indispensable. BANKO n'a aucun module carte.</t>
  </si>
  <si>
    <t xml:space="preserve">I</t>
  </si>
  <si>
    <t xml:space="preserve">STORY-CARD-02</t>
  </si>
  <si>
    <t xml:space="preserve">Application: CardService + lifecycle management</t>
  </si>
  <si>
    <t xml:space="preserve">Emission, activation, renouvellement, opposition, blocage/deblocage</t>
  </si>
  <si>
    <t xml:space="preserve">STORY-CARD-03</t>
  </si>
  <si>
    <t xml:space="preserve">Infra: Tables cards + card_transactions</t>
  </si>
  <si>
    <t xml:space="preserve">Schema DB pour cartes et autorisations</t>
  </si>
  <si>
    <t xml:space="preserve">STORY-CARD-04</t>
  </si>
  <si>
    <t xml:space="preserve">API: Endpoints gestion cartes</t>
  </si>
  <si>
    <t xml:space="preserve">POST/GET/PUT /cards, /cards/{id}/block, /cards/{id}/activate</t>
  </si>
  <si>
    <t xml:space="preserve">STORY-CARD-05</t>
  </si>
  <si>
    <t xml:space="preserve">Feature: Plafonds et limites par carte</t>
  </si>
  <si>
    <t xml:space="preserve">Limites retrait DAB, paiement commerce, en ligne. Modifiables par client.</t>
  </si>
  <si>
    <t xml:space="preserve">STORY-CARD-06</t>
  </si>
  <si>
    <t xml:space="preserve">Feature: Tokenisation carte (PCI DSS)</t>
  </si>
  <si>
    <t xml:space="preserve">Payment+Compliance</t>
  </si>
  <si>
    <t xml:space="preserve">Stockage securise PAN via tokenisation. Lie a STORY-COMP-02.</t>
  </si>
  <si>
    <t xml:space="preserve">MODULE VIREMENTS RECURRENTS &amp; PRELEVEMENTS</t>
  </si>
  <si>
    <t xml:space="preserve">STORY-RECUR-01</t>
  </si>
  <si>
    <t xml:space="preserve">Feature: Virements permanents (standing orders)</t>
  </si>
  <si>
    <t xml:space="preserve">Virements automatiques periodiques (loyer, epargne auto). Absent de BANKO.</t>
  </si>
  <si>
    <t xml:space="preserve">STORY-RECUR-02</t>
  </si>
  <si>
    <t xml:space="preserve">Feature: Prelevements (direct debit mandats)</t>
  </si>
  <si>
    <t xml:space="preserve">Gestion mandats de prelevement SEPA/domestique. Essentiel pour factures.</t>
  </si>
  <si>
    <t xml:space="preserve">STORY-RECUR-03</t>
  </si>
  <si>
    <t xml:space="preserve">Feature: Scheduler paiements recurrents (Tokio cron)</t>
  </si>
  <si>
    <t xml:space="preserve">Job batch pour execution des ordres permanents a date definie</t>
  </si>
  <si>
    <t xml:space="preserve">MODULE MULTI-DEVISE COMPTES</t>
  </si>
  <si>
    <t xml:space="preserve">STORY-MCUR-01</t>
  </si>
  <si>
    <t xml:space="preserve">Feature: Comptes multi-devises (TND, EUR, USD)</t>
  </si>
  <si>
    <t xml:space="preserve">Account+FX</t>
  </si>
  <si>
    <t xml:space="preserve">Clients doivent pouvoir detenir des sous-comptes en devise. Lie au FX.</t>
  </si>
  <si>
    <t xml:space="preserve">STORY-MCUR-02</t>
  </si>
  <si>
    <t xml:space="preserve">Feature: Conversion automatique inter-comptes</t>
  </si>
  <si>
    <t xml:space="preserve">Virement entre sous-comptes avec taux FX du jour applique</t>
  </si>
  <si>
    <t xml:space="preserve">MODULE FRAIS &amp; COMMISSIONS</t>
  </si>
  <si>
    <t xml:space="preserve">STORY-FEE-01</t>
  </si>
  <si>
    <t xml:space="preserve">Domain: Fee aggregate (type, montant, conditions)</t>
  </si>
  <si>
    <t xml:space="preserve">Moteur de frais: tenue de compte, virement, retrait DAB, chequier...</t>
  </si>
  <si>
    <t xml:space="preserve">STORY-FEE-02</t>
  </si>
  <si>
    <t xml:space="preserve">Feature: Calcul et prelevement automatique des frais</t>
  </si>
  <si>
    <t xml:space="preserve">Frais debites automatiquement avec ecriture comptable associee</t>
  </si>
  <si>
    <t xml:space="preserve">STORY-FEE-03</t>
  </si>
  <si>
    <t xml:space="preserve">Feature: Grille frais par segment client</t>
  </si>
  <si>
    <t xml:space="preserve">Particulier vs. Entreprise vs. Premium: frais differencies</t>
  </si>
  <si>
    <t xml:space="preserve">MODULE GESTION CHEQUES</t>
  </si>
  <si>
    <t xml:space="preserve">STORY-CHQ-01</t>
  </si>
  <si>
    <t xml:space="preserve">Domain: Cheque aggregate (emission, encaissement, rejet)</t>
  </si>
  <si>
    <t xml:space="preserve">Cheques toujours utilises en Tunisie. Gestion emission, compensation, rejet.</t>
  </si>
  <si>
    <t xml:space="preserve">STORY-CHQ-02</t>
  </si>
  <si>
    <t xml:space="preserve">Feature: Opposition cheque + interdit bancaire</t>
  </si>
  <si>
    <t xml:space="preserve">Lien avec TuniCheque (STORY-COMP-11). Declaration interdits bancaires.</t>
  </si>
  <si>
    <t xml:space="preserve">STORY-CHQ-03</t>
  </si>
  <si>
    <t xml:space="preserve">Feature: Compensation cheques (chambre compensation BCT)</t>
  </si>
  <si>
    <t xml:space="preserve">Integration systeme de compensation BCT pour cheques</t>
  </si>
  <si>
    <t xml:space="preserve">MODULE EVENT BUS &amp; INTEGRATION INTER-BC</t>
  </si>
  <si>
    <t xml:space="preserve">STORY-EVT-01</t>
  </si>
  <si>
    <t xml:space="preserve">Feature: Event bus interne (domain events)</t>
  </si>
  <si>
    <t xml:space="preserve">Les 12 BC communiquent par appels directs. Un event bus decouple les interactions.</t>
  </si>
  <si>
    <t xml:space="preserve">STORY-EVT-02</t>
  </si>
  <si>
    <t xml:space="preserve">Feature: Event store + replay</t>
  </si>
  <si>
    <t xml:space="preserve">Audit trail renforce: tous les events persistes, rejouables pour debug/migration</t>
  </si>
  <si>
    <t xml:space="preserve">J</t>
  </si>
  <si>
    <t xml:space="preserve">STORY-EVT-03</t>
  </si>
  <si>
    <t xml:space="preserve">Feature: Saga pattern pour transactions cross-BC</t>
  </si>
  <si>
    <t xml:space="preserve">Compensation automatique si un BC echoue (ex: paiement -&gt; AML -&gt; comptabilite)</t>
  </si>
  <si>
    <t xml:space="preserve">MODULE SECURITE AVANCEE &amp; ANTI-FRAUDE</t>
  </si>
  <si>
    <t xml:space="preserve">STORY-SEC-01</t>
  </si>
  <si>
    <t xml:space="preserve">Feature: Rate limiting API (Actix middleware)</t>
  </si>
  <si>
    <t xml:space="preserve">Protection brute force. Mentionne dans stories mais non implemente.</t>
  </si>
  <si>
    <t xml:space="preserve">STORY-SEC-02</t>
  </si>
  <si>
    <t xml:space="preserve">Feature: Detection fraude temps reel (rules engine)</t>
  </si>
  <si>
    <t xml:space="preserve">AML+Payment</t>
  </si>
  <si>
    <t xml:space="preserve">Au-dela de l'AML: detection comportement anormal (geo, montant, heure)</t>
  </si>
  <si>
    <t xml:space="preserve">STORY-SEC-03</t>
  </si>
  <si>
    <t xml:space="preserve">Feature: IP whitelisting + geo-blocking</t>
  </si>
  <si>
    <t xml:space="preserve">Blocage connexions depuis pays sanctionnes ou IP suspectes</t>
  </si>
  <si>
    <t xml:space="preserve">STORY-SEC-04</t>
  </si>
  <si>
    <t xml:space="preserve">Feature: Audit cryptographique (hash chain)</t>
  </si>
  <si>
    <t xml:space="preserve">Chaque audit log lie au precedent par hash = inalterable (blockchain-like)</t>
  </si>
  <si>
    <t xml:space="preserve">MODULE BUSINESS INTELLIGENCE &amp; ANALYTICS</t>
  </si>
  <si>
    <t xml:space="preserve">STORY-BI-01</t>
  </si>
  <si>
    <t xml:space="preserve">Feature: Dashboard operationnel temps reel</t>
  </si>
  <si>
    <t xml:space="preserve">Vue consolidee: nb comptes, volume tx, encours credit, liquidite</t>
  </si>
  <si>
    <t xml:space="preserve">STORY-BI-02</t>
  </si>
  <si>
    <t xml:space="preserve">Feature: Export donnees pour BI externe (Metabase/Grafana)</t>
  </si>
  <si>
    <t xml:space="preserve">Vues SQL read-only ou API GraphQL pour outils BI tiers</t>
  </si>
  <si>
    <t xml:space="preserve">STORY-BI-03</t>
  </si>
  <si>
    <t xml:space="preserve">Feature: Alertes business automatisees</t>
  </si>
  <si>
    <t xml:space="preserve">Alertes quand ratio prudentiel approche seuil, encours credits trop concentre</t>
  </si>
  <si>
    <t xml:space="preserve">MODULE MOBILE BANKING</t>
  </si>
  <si>
    <t xml:space="preserve">STORY-MOB-01</t>
  </si>
  <si>
    <t xml:space="preserve">Feature: API mobile-optimisee (REST + compression)</t>
  </si>
  <si>
    <t xml:space="preserve">Endpoints optimises mobile: pagination, champs reduits, compression gzip</t>
  </si>
  <si>
    <t xml:space="preserve">K</t>
  </si>
  <si>
    <t xml:space="preserve">STORY-MOB-02</t>
  </si>
  <si>
    <t xml:space="preserve">Feature: Push notifications (Firebase/APNs)</t>
  </si>
  <si>
    <t xml:space="preserve">Integration push pour alertes temps reel sur mobile</t>
  </si>
  <si>
    <t xml:space="preserve">STORY-MOB-03</t>
  </si>
  <si>
    <t xml:space="preserve">Feature: Authentification biometrique mobile</t>
  </si>
  <si>
    <t xml:space="preserve">Login par empreinte/Face ID via WebAuthn/FIDO2</t>
  </si>
  <si>
    <t xml:space="preserve">MODULE BACKUP &amp; DISASTER RECOVERY</t>
  </si>
  <si>
    <t xml:space="preserve">STORY-DR-01</t>
  </si>
  <si>
    <t xml:space="preserve">Feature: Backup automatise PostgreSQL (pg_dump + S3)</t>
  </si>
  <si>
    <t xml:space="preserve">Backup quotidien automatise vers MinIO/S3. Aucun script de backup dans BANKO.</t>
  </si>
  <si>
    <t xml:space="preserve">STORY-DR-02</t>
  </si>
  <si>
    <t xml:space="preserve">Feature: Point-in-time recovery (PITR)</t>
  </si>
  <si>
    <t xml:space="preserve">WAL archiving pour restauration a un instant precis. Critique pour banque.</t>
  </si>
  <si>
    <t xml:space="preserve">STORY-DR-03</t>
  </si>
  <si>
    <t xml:space="preserve">Feature: Disaster recovery plan + runbook</t>
  </si>
  <si>
    <t xml:space="preserve">Documentation + scripts de bascule. Exigence regulateur.</t>
  </si>
  <si>
    <t xml:space="preserve">MODULE END-OF-DAY (EOD) PROCESSING</t>
  </si>
  <si>
    <t xml:space="preserve">STORY-EOD-01</t>
  </si>
  <si>
    <t xml:space="preserve">Feature: Job EOD orchestrateur</t>
  </si>
  <si>
    <t xml:space="preserve">Batch de fin de journee: calcul interets, frais, classification, ratios. Absent de BANKO.</t>
  </si>
  <si>
    <t xml:space="preserve">STORY-EOD-02</t>
  </si>
  <si>
    <t xml:space="preserve">Feature: Calcul interets quotidien (accrual)</t>
  </si>
  <si>
    <t xml:space="preserve">Interets courus calcules chaque jour, comptabilises mensuellement</t>
  </si>
  <si>
    <t xml:space="preserve">STORY-EOD-03</t>
  </si>
  <si>
    <t xml:space="preserve">Feature: Reconciliation automatique EOD</t>
  </si>
  <si>
    <t xml:space="preserve">Verification balance comptable = somme soldes comptes. Detecte anomalies.</t>
  </si>
  <si>
    <t xml:space="preserve">~24 jours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</si>
</sst>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\%"/>
    <numFmt numFmtId="166" formatCode="0\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Arial"/>
      <family val="0"/>
      <charset val="1"/>
    </font>
    <font>
      <sz val="12"/>
      <color rgb="FF666666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4"/>
      <color rgb="FF8E44AD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8E44AD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8DAEF"/>
      </patternFill>
    </fill>
    <fill>
      <patternFill patternType="solid">
        <fgColor rgb="FFC6EFCE"/>
        <bgColor rgb="FFD5F5E3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E8DAEF"/>
      </patternFill>
    </fill>
    <fill>
      <patternFill patternType="solid">
        <fgColor rgb="FF8E44AD"/>
        <bgColor rgb="FF993366"/>
      </patternFill>
    </fill>
    <fill>
      <patternFill patternType="solid">
        <fgColor rgb="FFE8DAEF"/>
        <bgColor rgb="FFD6E4F0"/>
      </patternFill>
    </fill>
    <fill>
      <patternFill patternType="solid">
        <fgColor rgb="FFD5F5E3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E44AD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E8DAE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8E44AD"/>
      <rgbColor rgb="FFFFFFCC"/>
      <rgbColor rgb="FFC6EFCE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F5E3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E74C3C"/>
      <rgbColor rgb="FF666666"/>
      <rgbColor rgb="FF999999"/>
      <rgbColor rgb="FF003366"/>
      <rgbColor rgb="FF27AE60"/>
      <rgbColor rgb="FF003300"/>
      <rgbColor rgb="FF333300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F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5" min="3" style="1" width="10"/>
    <col collapsed="false" customWidth="true" hidden="false" outlineLevel="0" max="6" min="6" style="1" width="16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5" hidden="false" customHeight="true" outlineLevel="0" collapsed="false">
      <c r="A6" s="6" t="s">
        <v>9</v>
      </c>
      <c r="B6" s="7" t="n">
        <v>13</v>
      </c>
      <c r="C6" s="7" t="n">
        <v>11</v>
      </c>
      <c r="D6" s="6" t="n">
        <v>2</v>
      </c>
      <c r="E6" s="6" t="n">
        <v>0</v>
      </c>
      <c r="F6" s="8" t="n">
        <f aca="false">(C6+D6*0.5)/(B6)*100</f>
        <v>92.3076923076923</v>
      </c>
    </row>
    <row r="7" customFormat="false" ht="15" hidden="false" customHeight="true" outlineLevel="0" collapsed="false">
      <c r="A7" s="6" t="s">
        <v>10</v>
      </c>
      <c r="B7" s="7" t="n">
        <v>10</v>
      </c>
      <c r="C7" s="7" t="n">
        <v>8</v>
      </c>
      <c r="D7" s="6" t="n">
        <v>2</v>
      </c>
      <c r="E7" s="6" t="n">
        <v>0</v>
      </c>
      <c r="F7" s="8" t="n">
        <f aca="false">(C7+D7*0.5)/(B7)*100</f>
        <v>90</v>
      </c>
    </row>
    <row r="8" customFormat="false" ht="15" hidden="false" customHeight="true" outlineLevel="0" collapsed="false">
      <c r="A8" s="6" t="s">
        <v>11</v>
      </c>
      <c r="B8" s="7" t="n">
        <v>8</v>
      </c>
      <c r="C8" s="7" t="n">
        <v>7</v>
      </c>
      <c r="D8" s="6" t="n">
        <v>1</v>
      </c>
      <c r="E8" s="6" t="n">
        <v>0</v>
      </c>
      <c r="F8" s="8" t="n">
        <f aca="false">(C8+D8*0.5)/(B8)*100</f>
        <v>93.75</v>
      </c>
    </row>
    <row r="9" customFormat="false" ht="15" hidden="false" customHeight="true" outlineLevel="0" collapsed="false">
      <c r="A9" s="6" t="s">
        <v>12</v>
      </c>
      <c r="B9" s="7" t="n">
        <v>8</v>
      </c>
      <c r="C9" s="7" t="n">
        <v>7</v>
      </c>
      <c r="D9" s="6" t="n">
        <v>1</v>
      </c>
      <c r="E9" s="6" t="n">
        <v>0</v>
      </c>
      <c r="F9" s="8" t="n">
        <f aca="false">(C9+D9*0.5)/(B9)*100</f>
        <v>93.75</v>
      </c>
    </row>
    <row r="10" customFormat="false" ht="15" hidden="false" customHeight="true" outlineLevel="0" collapsed="false">
      <c r="A10" s="6" t="s">
        <v>13</v>
      </c>
      <c r="B10" s="7" t="n">
        <v>8</v>
      </c>
      <c r="C10" s="7" t="n">
        <v>7</v>
      </c>
      <c r="D10" s="6" t="n">
        <v>0</v>
      </c>
      <c r="E10" s="6" t="n">
        <v>1</v>
      </c>
      <c r="F10" s="8" t="n">
        <f aca="false">(C10+D10*0.5)/(B10)*100</f>
        <v>87.5</v>
      </c>
    </row>
    <row r="11" customFormat="false" ht="15" hidden="false" customHeight="true" outlineLevel="0" collapsed="false">
      <c r="A11" s="6" t="s">
        <v>14</v>
      </c>
      <c r="B11" s="7" t="n">
        <v>8</v>
      </c>
      <c r="C11" s="7" t="n">
        <v>7</v>
      </c>
      <c r="D11" s="6" t="n">
        <v>0</v>
      </c>
      <c r="E11" s="6" t="n">
        <v>1</v>
      </c>
      <c r="F11" s="8" t="n">
        <f aca="false">(C11+D11*0.5)/(B11)*100</f>
        <v>87.5</v>
      </c>
    </row>
    <row r="12" customFormat="false" ht="15" hidden="false" customHeight="true" outlineLevel="0" collapsed="false">
      <c r="A12" s="6" t="s">
        <v>15</v>
      </c>
      <c r="B12" s="7" t="n">
        <v>8</v>
      </c>
      <c r="C12" s="7" t="n">
        <v>7</v>
      </c>
      <c r="D12" s="6" t="n">
        <v>0</v>
      </c>
      <c r="E12" s="6" t="n">
        <v>1</v>
      </c>
      <c r="F12" s="8" t="n">
        <f aca="false">(C12+D12*0.5)/(B12)*100</f>
        <v>87.5</v>
      </c>
    </row>
    <row r="13" customFormat="false" ht="15" hidden="false" customHeight="true" outlineLevel="0" collapsed="false">
      <c r="A13" s="6" t="s">
        <v>16</v>
      </c>
      <c r="B13" s="7" t="n">
        <v>8</v>
      </c>
      <c r="C13" s="7" t="n">
        <v>7</v>
      </c>
      <c r="D13" s="6" t="n">
        <v>0</v>
      </c>
      <c r="E13" s="6" t="n">
        <v>1</v>
      </c>
      <c r="F13" s="8" t="n">
        <f aca="false">(C13+D13*0.5)/(B13)*100</f>
        <v>87.5</v>
      </c>
    </row>
    <row r="14" customFormat="false" ht="15" hidden="false" customHeight="true" outlineLevel="0" collapsed="false">
      <c r="A14" s="6" t="s">
        <v>17</v>
      </c>
      <c r="B14" s="7" t="n">
        <v>8</v>
      </c>
      <c r="C14" s="7" t="n">
        <v>7</v>
      </c>
      <c r="D14" s="6" t="n">
        <v>0</v>
      </c>
      <c r="E14" s="6" t="n">
        <v>1</v>
      </c>
      <c r="F14" s="8" t="n">
        <f aca="false">(C14+D14*0.5)/(B14)*100</f>
        <v>87.5</v>
      </c>
    </row>
    <row r="15" customFormat="false" ht="15" hidden="false" customHeight="true" outlineLevel="0" collapsed="false">
      <c r="A15" s="6" t="s">
        <v>18</v>
      </c>
      <c r="B15" s="7" t="n">
        <v>10</v>
      </c>
      <c r="C15" s="7" t="n">
        <v>8</v>
      </c>
      <c r="D15" s="6" t="n">
        <v>0</v>
      </c>
      <c r="E15" s="6" t="n">
        <v>2</v>
      </c>
      <c r="F15" s="8" t="n">
        <f aca="false">(C15+D15*0.5)/(B15)*100</f>
        <v>80</v>
      </c>
    </row>
    <row r="16" customFormat="false" ht="15" hidden="false" customHeight="true" outlineLevel="0" collapsed="false">
      <c r="A16" s="6" t="s">
        <v>19</v>
      </c>
      <c r="B16" s="7" t="n">
        <v>8</v>
      </c>
      <c r="C16" s="7" t="n">
        <v>7</v>
      </c>
      <c r="D16" s="6" t="n">
        <v>0</v>
      </c>
      <c r="E16" s="6" t="n">
        <v>1</v>
      </c>
      <c r="F16" s="8" t="n">
        <f aca="false">(C16+D16*0.5)/(B16)*100</f>
        <v>87.5</v>
      </c>
    </row>
    <row r="17" customFormat="false" ht="15" hidden="false" customHeight="true" outlineLevel="0" collapsed="false">
      <c r="A17" s="6" t="s">
        <v>20</v>
      </c>
      <c r="B17" s="7" t="n">
        <v>8</v>
      </c>
      <c r="C17" s="7" t="n">
        <v>7</v>
      </c>
      <c r="D17" s="6" t="n">
        <v>0</v>
      </c>
      <c r="E17" s="6" t="n">
        <v>1</v>
      </c>
      <c r="F17" s="8" t="n">
        <f aca="false">(C17+D17*0.5)/(B17)*100</f>
        <v>87.5</v>
      </c>
    </row>
    <row r="18" customFormat="false" ht="15" hidden="false" customHeight="true" outlineLevel="0" collapsed="false">
      <c r="A18" s="6" t="s">
        <v>21</v>
      </c>
      <c r="B18" s="7" t="n">
        <v>8</v>
      </c>
      <c r="C18" s="7" t="n">
        <v>7</v>
      </c>
      <c r="D18" s="6" t="n">
        <v>0</v>
      </c>
      <c r="E18" s="6" t="n">
        <v>1</v>
      </c>
      <c r="F18" s="8" t="n">
        <f aca="false">(C18+D18*0.5)/(B18)*100</f>
        <v>87.5</v>
      </c>
    </row>
    <row r="19" customFormat="false" ht="15" hidden="false" customHeight="true" outlineLevel="0" collapsed="false">
      <c r="A19" s="6" t="s">
        <v>22</v>
      </c>
      <c r="B19" s="7" t="n">
        <v>6</v>
      </c>
      <c r="C19" s="7" t="n">
        <v>3</v>
      </c>
      <c r="D19" s="6" t="n">
        <v>2</v>
      </c>
      <c r="E19" s="6" t="n">
        <v>1</v>
      </c>
      <c r="F19" s="8" t="n">
        <f aca="false">(C19+D19*0.5)/(B19)*100</f>
        <v>66.6666666666667</v>
      </c>
    </row>
    <row r="20" customFormat="false" ht="15" hidden="false" customHeight="true" outlineLevel="0" collapsed="false">
      <c r="A20" s="6" t="s">
        <v>23</v>
      </c>
      <c r="B20" s="7" t="n">
        <v>8</v>
      </c>
      <c r="C20" s="7" t="n">
        <v>3</v>
      </c>
      <c r="D20" s="6" t="n">
        <v>2</v>
      </c>
      <c r="E20" s="6" t="n">
        <v>3</v>
      </c>
      <c r="F20" s="8" t="n">
        <f aca="false">(C20+D20*0.5)/(B20)*100</f>
        <v>50</v>
      </c>
    </row>
    <row r="21" customFormat="false" ht="15" hidden="false" customHeight="true" outlineLevel="0" collapsed="false">
      <c r="A21" s="6" t="s">
        <v>24</v>
      </c>
      <c r="B21" s="7" t="n">
        <v>15</v>
      </c>
      <c r="C21" s="7" t="n">
        <v>2</v>
      </c>
      <c r="D21" s="6" t="n">
        <v>3</v>
      </c>
      <c r="E21" s="6" t="n">
        <v>10</v>
      </c>
      <c r="F21" s="8" t="n">
        <f aca="false">(C21+D21*0.5)/(B21)*100</f>
        <v>23.3333333333333</v>
      </c>
    </row>
    <row r="22" customFormat="false" ht="15" hidden="false" customHeight="true" outlineLevel="0" collapsed="false">
      <c r="A22" s="6" t="s">
        <v>25</v>
      </c>
      <c r="B22" s="7" t="n">
        <v>3</v>
      </c>
      <c r="C22" s="7" t="n">
        <v>2</v>
      </c>
      <c r="D22" s="6" t="n">
        <v>1</v>
      </c>
      <c r="E22" s="6" t="n">
        <v>0</v>
      </c>
      <c r="F22" s="8" t="n">
        <f aca="false">(C22+D22*0.5)/(B22)*100</f>
        <v>83.3333333333333</v>
      </c>
    </row>
    <row r="23" customFormat="false" ht="15" hidden="false" customHeight="true" outlineLevel="0" collapsed="false">
      <c r="A23" s="6" t="s">
        <v>26</v>
      </c>
      <c r="B23" s="7" t="n">
        <f aca="false">SUM(B6:B22)</f>
        <v>145</v>
      </c>
      <c r="C23" s="7" t="n">
        <f aca="false">SUM(C6:C22)</f>
        <v>107</v>
      </c>
      <c r="D23" s="6" t="n">
        <f aca="false">SUM(D6:D22)</f>
        <v>14</v>
      </c>
      <c r="E23" s="6" t="n">
        <f aca="false">SUM(E6:E22)</f>
        <v>24</v>
      </c>
      <c r="F23" s="8" t="n">
        <f aca="false">(C23+D23*0.5)/B23*100</f>
        <v>78.6206896551724</v>
      </c>
    </row>
    <row r="25" customFormat="false" ht="17.25" hidden="false" customHeight="true" outlineLevel="0" collapsed="false">
      <c r="A25" s="9" t="s">
        <v>27</v>
      </c>
    </row>
    <row r="26" customFormat="false" ht="15" hidden="false" customHeight="true" outlineLevel="0" collapsed="false">
      <c r="A26" s="10" t="s">
        <v>28</v>
      </c>
      <c r="B26" s="10"/>
      <c r="C26" s="10"/>
      <c r="D26" s="10"/>
      <c r="E26" s="10"/>
      <c r="F26" s="10"/>
    </row>
    <row r="27" customFormat="false" ht="15" hidden="false" customHeight="true" outlineLevel="0" collapsed="false">
      <c r="A27" s="10" t="s">
        <v>29</v>
      </c>
      <c r="B27" s="10"/>
      <c r="C27" s="10"/>
      <c r="D27" s="10"/>
      <c r="E27" s="10"/>
      <c r="F27" s="10"/>
    </row>
    <row r="28" customFormat="false" ht="15" hidden="false" customHeight="true" outlineLevel="0" collapsed="false">
      <c r="A28" s="10" t="s">
        <v>30</v>
      </c>
      <c r="B28" s="10"/>
      <c r="C28" s="10"/>
      <c r="D28" s="10"/>
      <c r="E28" s="10"/>
      <c r="F28" s="10"/>
    </row>
    <row r="29" customFormat="false" ht="15" hidden="false" customHeight="true" outlineLevel="0" collapsed="false">
      <c r="A29" s="10" t="s">
        <v>31</v>
      </c>
      <c r="B29" s="10"/>
      <c r="C29" s="10"/>
      <c r="D29" s="10"/>
      <c r="E29" s="10"/>
      <c r="F29" s="10"/>
    </row>
    <row r="30" customFormat="false" ht="15" hidden="false" customHeight="true" outlineLevel="0" collapsed="false">
      <c r="A30" s="11" t="s">
        <v>32</v>
      </c>
      <c r="B30" s="11"/>
      <c r="C30" s="11"/>
      <c r="D30" s="11"/>
      <c r="E30" s="11"/>
      <c r="F30" s="11"/>
    </row>
    <row r="31" customFormat="false" ht="15" hidden="false" customHeight="true" outlineLevel="0" collapsed="false">
      <c r="A31" s="12" t="s">
        <v>33</v>
      </c>
      <c r="B31" s="12"/>
      <c r="C31" s="12"/>
      <c r="D31" s="12"/>
      <c r="E31" s="12"/>
      <c r="F31" s="12"/>
    </row>
    <row r="32" customFormat="false" ht="15" hidden="false" customHeight="true" outlineLevel="0" collapsed="false">
      <c r="A32" s="12" t="s">
        <v>34</v>
      </c>
      <c r="B32" s="12"/>
      <c r="C32" s="12"/>
      <c r="D32" s="12"/>
      <c r="E32" s="12"/>
      <c r="F32" s="12"/>
    </row>
    <row r="33" customFormat="false" ht="15" hidden="false" customHeight="true" outlineLevel="0" collapsed="false">
      <c r="A33" s="12" t="s">
        <v>35</v>
      </c>
      <c r="B33" s="12"/>
      <c r="C33" s="12"/>
      <c r="D33" s="12"/>
      <c r="E33" s="12"/>
      <c r="F33" s="12"/>
    </row>
    <row r="34" customFormat="false" ht="15" hidden="false" customHeight="true" outlineLevel="0" collapsed="false">
      <c r="A34" s="12" t="s">
        <v>36</v>
      </c>
      <c r="B34" s="12"/>
      <c r="C34" s="12"/>
      <c r="D34" s="12"/>
      <c r="E34" s="12"/>
      <c r="F34" s="12"/>
    </row>
    <row r="35" customFormat="false" ht="15" hidden="false" customHeight="false" outlineLevel="0" collapsed="false">
      <c r="A35" s="13" t="s">
        <v>37</v>
      </c>
      <c r="B35" s="13"/>
      <c r="C35" s="13"/>
      <c r="D35" s="13"/>
      <c r="E35" s="13"/>
      <c r="F35" s="13"/>
    </row>
    <row r="36" customFormat="false" ht="15" hidden="false" customHeight="false" outlineLevel="0" collapsed="false">
      <c r="A36" s="13" t="s">
        <v>38</v>
      </c>
      <c r="B36" s="13"/>
      <c r="C36" s="13"/>
      <c r="D36" s="13"/>
      <c r="E36" s="13"/>
      <c r="F36" s="13"/>
    </row>
    <row r="37" customFormat="false" ht="15" hidden="false" customHeight="false" outlineLevel="0" collapsed="false">
      <c r="A37" s="13" t="s">
        <v>39</v>
      </c>
      <c r="B37" s="13"/>
      <c r="C37" s="13"/>
      <c r="D37" s="13"/>
      <c r="E37" s="13"/>
      <c r="F37" s="13"/>
    </row>
    <row r="38" customFormat="false" ht="15" hidden="false" customHeight="false" outlineLevel="0" collapsed="false">
      <c r="A38" s="13" t="s">
        <v>40</v>
      </c>
      <c r="B38" s="13"/>
      <c r="C38" s="13"/>
      <c r="D38" s="13"/>
      <c r="E38" s="13"/>
      <c r="F38" s="13"/>
    </row>
    <row r="39" customFormat="false" ht="15" hidden="false" customHeight="false" outlineLevel="0" collapsed="false">
      <c r="A39" s="13" t="s">
        <v>41</v>
      </c>
      <c r="B39" s="13"/>
      <c r="C39" s="13"/>
      <c r="D39" s="13"/>
      <c r="E39" s="13"/>
      <c r="F39" s="13"/>
    </row>
    <row r="40" customFormat="false" ht="15" hidden="false" customHeight="false" outlineLevel="0" collapsed="false">
      <c r="A40" s="13" t="s">
        <v>42</v>
      </c>
      <c r="B40" s="13"/>
      <c r="C40" s="13"/>
      <c r="D40" s="13"/>
      <c r="E40" s="13"/>
      <c r="F40" s="13"/>
    </row>
    <row r="41" customFormat="false" ht="15" hidden="false" customHeight="false" outlineLevel="0" collapsed="false">
      <c r="A41" s="13" t="s">
        <v>43</v>
      </c>
      <c r="B41" s="13"/>
      <c r="C41" s="13"/>
      <c r="D41" s="13"/>
      <c r="E41" s="13"/>
      <c r="F41" s="13"/>
    </row>
    <row r="42" customFormat="false" ht="15" hidden="false" customHeight="false" outlineLevel="0" collapsed="false">
      <c r="A42" s="13" t="s">
        <v>44</v>
      </c>
      <c r="B42" s="13"/>
      <c r="C42" s="13"/>
      <c r="D42" s="13"/>
      <c r="E42" s="13"/>
      <c r="F42" s="13"/>
    </row>
    <row r="43" customFormat="false" ht="15" hidden="false" customHeight="false" outlineLevel="0" collapsed="false">
      <c r="A43" s="13" t="s">
        <v>45</v>
      </c>
      <c r="B43" s="13"/>
      <c r="C43" s="13"/>
      <c r="D43" s="13"/>
      <c r="E43" s="13"/>
      <c r="F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</row>
    <row r="45" customFormat="false" ht="15" hidden="false" customHeight="false" outlineLevel="0" collapsed="false">
      <c r="A45" s="13" t="s">
        <v>46</v>
      </c>
      <c r="B45" s="13"/>
      <c r="C45" s="13"/>
      <c r="D45" s="13"/>
      <c r="E45" s="13"/>
      <c r="F45" s="13"/>
    </row>
  </sheetData>
  <mergeCells count="20"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55"/>
    <col collapsed="false" customWidth="true" hidden="false" outlineLevel="0" max="9" min="9" style="1" width="10"/>
  </cols>
  <sheetData>
    <row r="1" customFormat="false" ht="15" hidden="false" customHeight="true" outlineLevel="0" collapsed="false">
      <c r="A1" s="5" t="s">
        <v>47</v>
      </c>
      <c r="B1" s="5" t="s">
        <v>48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</row>
    <row r="2" customFormat="false" ht="15" hidden="false" customHeight="true" outlineLevel="0" collapsed="false">
      <c r="A2" s="14" t="s">
        <v>56</v>
      </c>
      <c r="B2" s="14"/>
      <c r="C2" s="14"/>
      <c r="D2" s="14"/>
      <c r="E2" s="14"/>
      <c r="F2" s="14"/>
      <c r="G2" s="14"/>
      <c r="H2" s="14"/>
      <c r="I2" s="14"/>
    </row>
    <row r="3" customFormat="false" ht="15" hidden="false" customHeight="true" outlineLevel="0" collapsed="false">
      <c r="A3" s="15" t="s">
        <v>57</v>
      </c>
      <c r="B3" s="16" t="s">
        <v>58</v>
      </c>
      <c r="C3" s="16" t="s">
        <v>59</v>
      </c>
      <c r="D3" s="15" t="s">
        <v>60</v>
      </c>
      <c r="E3" s="15" t="s">
        <v>61</v>
      </c>
      <c r="F3" s="15" t="s">
        <v>62</v>
      </c>
      <c r="G3" s="15" t="s">
        <v>63</v>
      </c>
      <c r="H3" s="16" t="s">
        <v>64</v>
      </c>
      <c r="I3" s="16" t="s">
        <v>65</v>
      </c>
    </row>
    <row r="4" customFormat="false" ht="15" hidden="false" customHeight="true" outlineLevel="0" collapsed="false">
      <c r="A4" s="15" t="s">
        <v>66</v>
      </c>
      <c r="B4" s="16" t="s">
        <v>67</v>
      </c>
      <c r="C4" s="16" t="s">
        <v>59</v>
      </c>
      <c r="D4" s="15" t="s">
        <v>68</v>
      </c>
      <c r="E4" s="15" t="s">
        <v>69</v>
      </c>
      <c r="F4" s="15" t="s">
        <v>62</v>
      </c>
      <c r="G4" s="15" t="s">
        <v>63</v>
      </c>
      <c r="H4" s="16" t="s">
        <v>70</v>
      </c>
      <c r="I4" s="16" t="s">
        <v>65</v>
      </c>
    </row>
    <row r="5" customFormat="false" ht="15" hidden="false" customHeight="true" outlineLevel="0" collapsed="false">
      <c r="A5" s="15" t="s">
        <v>71</v>
      </c>
      <c r="B5" s="16" t="s">
        <v>72</v>
      </c>
      <c r="C5" s="16" t="s">
        <v>59</v>
      </c>
      <c r="D5" s="15" t="s">
        <v>68</v>
      </c>
      <c r="E5" s="15" t="s">
        <v>69</v>
      </c>
      <c r="F5" s="15" t="s">
        <v>62</v>
      </c>
      <c r="G5" s="15" t="s">
        <v>63</v>
      </c>
      <c r="H5" s="16" t="s">
        <v>73</v>
      </c>
      <c r="I5" s="16" t="s">
        <v>65</v>
      </c>
    </row>
    <row r="6" customFormat="false" ht="15" hidden="false" customHeight="true" outlineLevel="0" collapsed="false">
      <c r="A6" s="17" t="s">
        <v>74</v>
      </c>
      <c r="B6" s="18" t="s">
        <v>75</v>
      </c>
      <c r="C6" s="18" t="s">
        <v>59</v>
      </c>
      <c r="D6" s="17" t="s">
        <v>60</v>
      </c>
      <c r="E6" s="17" t="s">
        <v>69</v>
      </c>
      <c r="F6" s="17" t="s">
        <v>62</v>
      </c>
      <c r="G6" s="17" t="s">
        <v>76</v>
      </c>
      <c r="H6" s="18" t="s">
        <v>77</v>
      </c>
      <c r="I6" s="18" t="s">
        <v>65</v>
      </c>
    </row>
    <row r="7" customFormat="false" ht="15" hidden="false" customHeight="true" outlineLevel="0" collapsed="false">
      <c r="A7" s="15" t="s">
        <v>78</v>
      </c>
      <c r="B7" s="16" t="s">
        <v>79</v>
      </c>
      <c r="C7" s="16" t="s">
        <v>59</v>
      </c>
      <c r="D7" s="15" t="s">
        <v>80</v>
      </c>
      <c r="E7" s="15" t="s">
        <v>69</v>
      </c>
      <c r="F7" s="15" t="s">
        <v>62</v>
      </c>
      <c r="G7" s="15" t="s">
        <v>63</v>
      </c>
      <c r="H7" s="16" t="s">
        <v>81</v>
      </c>
      <c r="I7" s="16" t="s">
        <v>65</v>
      </c>
    </row>
    <row r="8" customFormat="false" ht="15" hidden="false" customHeight="true" outlineLevel="0" collapsed="false">
      <c r="A8" s="15" t="s">
        <v>82</v>
      </c>
      <c r="B8" s="16" t="s">
        <v>83</v>
      </c>
      <c r="C8" s="16" t="s">
        <v>59</v>
      </c>
      <c r="D8" s="15" t="s">
        <v>68</v>
      </c>
      <c r="E8" s="15" t="s">
        <v>69</v>
      </c>
      <c r="F8" s="15" t="s">
        <v>62</v>
      </c>
      <c r="G8" s="15" t="s">
        <v>63</v>
      </c>
      <c r="H8" s="16" t="s">
        <v>84</v>
      </c>
      <c r="I8" s="16" t="s">
        <v>65</v>
      </c>
    </row>
    <row r="9" customFormat="false" ht="23.25" hidden="false" customHeight="true" outlineLevel="0" collapsed="false">
      <c r="A9" s="15" t="s">
        <v>85</v>
      </c>
      <c r="B9" s="16" t="s">
        <v>86</v>
      </c>
      <c r="C9" s="16" t="s">
        <v>59</v>
      </c>
      <c r="D9" s="15" t="s">
        <v>68</v>
      </c>
      <c r="E9" s="15" t="s">
        <v>87</v>
      </c>
      <c r="F9" s="15" t="s">
        <v>62</v>
      </c>
      <c r="G9" s="15" t="s">
        <v>63</v>
      </c>
      <c r="H9" s="16" t="s">
        <v>88</v>
      </c>
      <c r="I9" s="16" t="s">
        <v>65</v>
      </c>
    </row>
    <row r="10" customFormat="false" ht="23.25" hidden="false" customHeight="true" outlineLevel="0" collapsed="false">
      <c r="A10" s="17" t="s">
        <v>89</v>
      </c>
      <c r="B10" s="18" t="s">
        <v>90</v>
      </c>
      <c r="C10" s="18" t="s">
        <v>59</v>
      </c>
      <c r="D10" s="17" t="s">
        <v>68</v>
      </c>
      <c r="E10" s="17" t="s">
        <v>69</v>
      </c>
      <c r="F10" s="17" t="s">
        <v>62</v>
      </c>
      <c r="G10" s="17" t="s">
        <v>76</v>
      </c>
      <c r="H10" s="18" t="s">
        <v>91</v>
      </c>
      <c r="I10" s="18" t="s">
        <v>92</v>
      </c>
    </row>
    <row r="11" customFormat="false" ht="23.25" hidden="false" customHeight="true" outlineLevel="0" collapsed="false">
      <c r="A11" s="15" t="s">
        <v>93</v>
      </c>
      <c r="B11" s="16" t="s">
        <v>94</v>
      </c>
      <c r="C11" s="16" t="s">
        <v>59</v>
      </c>
      <c r="D11" s="15" t="s">
        <v>95</v>
      </c>
      <c r="E11" s="15" t="s">
        <v>69</v>
      </c>
      <c r="F11" s="15" t="s">
        <v>62</v>
      </c>
      <c r="G11" s="15" t="s">
        <v>63</v>
      </c>
      <c r="H11" s="16" t="s">
        <v>96</v>
      </c>
      <c r="I11" s="16" t="s">
        <v>65</v>
      </c>
    </row>
    <row r="12" customFormat="false" ht="15" hidden="false" customHeight="true" outlineLevel="0" collapsed="false">
      <c r="A12" s="15" t="s">
        <v>97</v>
      </c>
      <c r="B12" s="16" t="s">
        <v>98</v>
      </c>
      <c r="C12" s="16" t="s">
        <v>59</v>
      </c>
      <c r="D12" s="15" t="s">
        <v>68</v>
      </c>
      <c r="E12" s="15" t="s">
        <v>61</v>
      </c>
      <c r="F12" s="15" t="s">
        <v>62</v>
      </c>
      <c r="G12" s="15" t="s">
        <v>63</v>
      </c>
      <c r="H12" s="16" t="s">
        <v>99</v>
      </c>
      <c r="I12" s="16" t="s">
        <v>65</v>
      </c>
    </row>
    <row r="13" customFormat="false" ht="15" hidden="false" customHeight="true" outlineLevel="0" collapsed="false">
      <c r="A13" s="15" t="s">
        <v>100</v>
      </c>
      <c r="B13" s="16" t="s">
        <v>101</v>
      </c>
      <c r="C13" s="16" t="s">
        <v>59</v>
      </c>
      <c r="D13" s="15" t="s">
        <v>68</v>
      </c>
      <c r="E13" s="15" t="s">
        <v>61</v>
      </c>
      <c r="F13" s="15" t="s">
        <v>62</v>
      </c>
      <c r="G13" s="15" t="s">
        <v>63</v>
      </c>
      <c r="H13" s="16" t="s">
        <v>102</v>
      </c>
      <c r="I13" s="16" t="s">
        <v>65</v>
      </c>
    </row>
    <row r="14" customFormat="false" ht="15" hidden="false" customHeight="true" outlineLevel="0" collapsed="false">
      <c r="A14" s="15" t="s">
        <v>103</v>
      </c>
      <c r="B14" s="16" t="s">
        <v>104</v>
      </c>
      <c r="C14" s="16" t="s">
        <v>59</v>
      </c>
      <c r="D14" s="15" t="s">
        <v>68</v>
      </c>
      <c r="E14" s="15" t="s">
        <v>69</v>
      </c>
      <c r="F14" s="15" t="s">
        <v>62</v>
      </c>
      <c r="G14" s="15" t="s">
        <v>63</v>
      </c>
      <c r="H14" s="16" t="s">
        <v>105</v>
      </c>
      <c r="I14" s="16" t="s">
        <v>92</v>
      </c>
    </row>
    <row r="15" customFormat="false" ht="23.25" hidden="false" customHeight="true" outlineLevel="0" collapsed="false">
      <c r="A15" s="15" t="s">
        <v>106</v>
      </c>
      <c r="B15" s="16" t="s">
        <v>107</v>
      </c>
      <c r="C15" s="16" t="s">
        <v>59</v>
      </c>
      <c r="D15" s="15" t="s">
        <v>60</v>
      </c>
      <c r="E15" s="15" t="s">
        <v>69</v>
      </c>
      <c r="F15" s="15" t="s">
        <v>62</v>
      </c>
      <c r="G15" s="15" t="s">
        <v>63</v>
      </c>
      <c r="H15" s="16" t="s">
        <v>108</v>
      </c>
      <c r="I15" s="16" t="s">
        <v>65</v>
      </c>
    </row>
    <row r="16" customFormat="false" ht="15" hidden="false" customHeight="true" outlineLevel="0" collapsed="false">
      <c r="A16" s="14" t="s">
        <v>109</v>
      </c>
      <c r="B16" s="14"/>
      <c r="C16" s="14"/>
      <c r="D16" s="14"/>
      <c r="E16" s="14"/>
      <c r="F16" s="14"/>
      <c r="G16" s="14"/>
      <c r="H16" s="14"/>
      <c r="I16" s="14"/>
    </row>
    <row r="17" customFormat="false" ht="15" hidden="false" customHeight="true" outlineLevel="0" collapsed="false">
      <c r="A17" s="15" t="s">
        <v>110</v>
      </c>
      <c r="B17" s="16" t="s">
        <v>111</v>
      </c>
      <c r="C17" s="16" t="s">
        <v>112</v>
      </c>
      <c r="D17" s="15" t="s">
        <v>113</v>
      </c>
      <c r="E17" s="15" t="s">
        <v>69</v>
      </c>
      <c r="F17" s="15" t="s">
        <v>114</v>
      </c>
      <c r="G17" s="15" t="s">
        <v>63</v>
      </c>
      <c r="H17" s="16" t="s">
        <v>115</v>
      </c>
      <c r="I17" s="16" t="s">
        <v>65</v>
      </c>
    </row>
    <row r="18" customFormat="false" ht="15" hidden="false" customHeight="true" outlineLevel="0" collapsed="false">
      <c r="A18" s="15" t="s">
        <v>116</v>
      </c>
      <c r="B18" s="16" t="s">
        <v>117</v>
      </c>
      <c r="C18" s="16" t="s">
        <v>112</v>
      </c>
      <c r="D18" s="15" t="s">
        <v>113</v>
      </c>
      <c r="E18" s="15" t="s">
        <v>69</v>
      </c>
      <c r="F18" s="15" t="s">
        <v>114</v>
      </c>
      <c r="G18" s="15" t="s">
        <v>63</v>
      </c>
      <c r="H18" s="16" t="s">
        <v>118</v>
      </c>
      <c r="I18" s="16" t="s">
        <v>65</v>
      </c>
    </row>
    <row r="19" customFormat="false" ht="15" hidden="false" customHeight="true" outlineLevel="0" collapsed="false">
      <c r="A19" s="15" t="s">
        <v>119</v>
      </c>
      <c r="B19" s="16" t="s">
        <v>120</v>
      </c>
      <c r="C19" s="16" t="s">
        <v>112</v>
      </c>
      <c r="D19" s="15" t="s">
        <v>113</v>
      </c>
      <c r="E19" s="15" t="s">
        <v>69</v>
      </c>
      <c r="F19" s="15" t="s">
        <v>114</v>
      </c>
      <c r="G19" s="15" t="s">
        <v>63</v>
      </c>
      <c r="H19" s="16" t="s">
        <v>121</v>
      </c>
      <c r="I19" s="16" t="s">
        <v>65</v>
      </c>
    </row>
    <row r="20" customFormat="false" ht="15" hidden="false" customHeight="true" outlineLevel="0" collapsed="false">
      <c r="A20" s="15" t="s">
        <v>122</v>
      </c>
      <c r="B20" s="16" t="s">
        <v>123</v>
      </c>
      <c r="C20" s="16" t="s">
        <v>112</v>
      </c>
      <c r="D20" s="15" t="s">
        <v>113</v>
      </c>
      <c r="E20" s="15" t="s">
        <v>69</v>
      </c>
      <c r="F20" s="15" t="s">
        <v>114</v>
      </c>
      <c r="G20" s="15" t="s">
        <v>63</v>
      </c>
      <c r="H20" s="16" t="s">
        <v>124</v>
      </c>
      <c r="I20" s="16" t="s">
        <v>65</v>
      </c>
    </row>
    <row r="21" customFormat="false" ht="15" hidden="false" customHeight="true" outlineLevel="0" collapsed="false">
      <c r="A21" s="15" t="s">
        <v>125</v>
      </c>
      <c r="B21" s="16" t="s">
        <v>126</v>
      </c>
      <c r="C21" s="16" t="s">
        <v>112</v>
      </c>
      <c r="D21" s="15" t="s">
        <v>113</v>
      </c>
      <c r="E21" s="15" t="s">
        <v>69</v>
      </c>
      <c r="F21" s="15" t="s">
        <v>114</v>
      </c>
      <c r="G21" s="15" t="s">
        <v>63</v>
      </c>
      <c r="H21" s="16" t="s">
        <v>127</v>
      </c>
      <c r="I21" s="16" t="s">
        <v>65</v>
      </c>
    </row>
    <row r="22" customFormat="false" ht="15" hidden="false" customHeight="true" outlineLevel="0" collapsed="false">
      <c r="A22" s="15" t="s">
        <v>128</v>
      </c>
      <c r="B22" s="16" t="s">
        <v>129</v>
      </c>
      <c r="C22" s="16" t="s">
        <v>112</v>
      </c>
      <c r="D22" s="15" t="s">
        <v>113</v>
      </c>
      <c r="E22" s="15" t="s">
        <v>69</v>
      </c>
      <c r="F22" s="15" t="s">
        <v>114</v>
      </c>
      <c r="G22" s="15" t="s">
        <v>63</v>
      </c>
      <c r="H22" s="16" t="s">
        <v>130</v>
      </c>
      <c r="I22" s="16" t="s">
        <v>65</v>
      </c>
    </row>
    <row r="23" customFormat="false" ht="15" hidden="false" customHeight="true" outlineLevel="0" collapsed="false">
      <c r="A23" s="15" t="s">
        <v>131</v>
      </c>
      <c r="B23" s="16" t="s">
        <v>132</v>
      </c>
      <c r="C23" s="16" t="s">
        <v>112</v>
      </c>
      <c r="D23" s="15" t="s">
        <v>113</v>
      </c>
      <c r="E23" s="15" t="s">
        <v>69</v>
      </c>
      <c r="F23" s="15" t="s">
        <v>114</v>
      </c>
      <c r="G23" s="15" t="s">
        <v>63</v>
      </c>
      <c r="H23" s="16" t="s">
        <v>133</v>
      </c>
      <c r="I23" s="16" t="s">
        <v>65</v>
      </c>
    </row>
    <row r="24" customFormat="false" ht="15" hidden="false" customHeight="true" outlineLevel="0" collapsed="false">
      <c r="A24" s="17" t="s">
        <v>134</v>
      </c>
      <c r="B24" s="18" t="s">
        <v>135</v>
      </c>
      <c r="C24" s="18" t="s">
        <v>112</v>
      </c>
      <c r="D24" s="17" t="s">
        <v>113</v>
      </c>
      <c r="E24" s="17" t="s">
        <v>69</v>
      </c>
      <c r="F24" s="17" t="s">
        <v>114</v>
      </c>
      <c r="G24" s="17" t="s">
        <v>76</v>
      </c>
      <c r="H24" s="18" t="s">
        <v>136</v>
      </c>
      <c r="I24" s="18" t="s">
        <v>92</v>
      </c>
    </row>
    <row r="25" customFormat="false" ht="15" hidden="false" customHeight="true" outlineLevel="0" collapsed="false">
      <c r="A25" s="15" t="s">
        <v>137</v>
      </c>
      <c r="B25" s="16" t="s">
        <v>138</v>
      </c>
      <c r="C25" s="16" t="s">
        <v>112</v>
      </c>
      <c r="D25" s="15" t="s">
        <v>113</v>
      </c>
      <c r="E25" s="15" t="s">
        <v>87</v>
      </c>
      <c r="F25" s="15" t="s">
        <v>114</v>
      </c>
      <c r="G25" s="15" t="s">
        <v>63</v>
      </c>
      <c r="H25" s="16" t="s">
        <v>139</v>
      </c>
      <c r="I25" s="16" t="s">
        <v>65</v>
      </c>
    </row>
    <row r="26" customFormat="false" ht="15" hidden="false" customHeight="true" outlineLevel="0" collapsed="false">
      <c r="A26" s="17" t="s">
        <v>140</v>
      </c>
      <c r="B26" s="18" t="s">
        <v>141</v>
      </c>
      <c r="C26" s="18" t="s">
        <v>112</v>
      </c>
      <c r="D26" s="17" t="s">
        <v>113</v>
      </c>
      <c r="E26" s="17" t="s">
        <v>69</v>
      </c>
      <c r="F26" s="17" t="s">
        <v>114</v>
      </c>
      <c r="G26" s="17" t="s">
        <v>76</v>
      </c>
      <c r="H26" s="18" t="s">
        <v>142</v>
      </c>
      <c r="I26" s="18" t="s">
        <v>92</v>
      </c>
    </row>
    <row r="27" customFormat="false" ht="15" hidden="false" customHeight="true" outlineLevel="0" collapsed="false">
      <c r="A27" s="14" t="s">
        <v>143</v>
      </c>
      <c r="B27" s="14"/>
      <c r="C27" s="14"/>
      <c r="D27" s="14"/>
      <c r="E27" s="14"/>
      <c r="F27" s="14"/>
      <c r="G27" s="14"/>
      <c r="H27" s="14"/>
      <c r="I27" s="14"/>
    </row>
    <row r="28" customFormat="false" ht="23.25" hidden="false" customHeight="true" outlineLevel="0" collapsed="false">
      <c r="A28" s="15" t="s">
        <v>144</v>
      </c>
      <c r="B28" s="16" t="s">
        <v>145</v>
      </c>
      <c r="C28" s="16" t="s">
        <v>146</v>
      </c>
      <c r="D28" s="15" t="s">
        <v>147</v>
      </c>
      <c r="E28" s="15" t="s">
        <v>87</v>
      </c>
      <c r="F28" s="15" t="s">
        <v>114</v>
      </c>
      <c r="G28" s="15" t="s">
        <v>63</v>
      </c>
      <c r="H28" s="16" t="s">
        <v>148</v>
      </c>
      <c r="I28" s="16" t="s">
        <v>65</v>
      </c>
    </row>
    <row r="29" customFormat="false" ht="23.25" hidden="false" customHeight="true" outlineLevel="0" collapsed="false">
      <c r="A29" s="15" t="s">
        <v>149</v>
      </c>
      <c r="B29" s="16" t="s">
        <v>150</v>
      </c>
      <c r="C29" s="16" t="s">
        <v>146</v>
      </c>
      <c r="D29" s="15" t="s">
        <v>147</v>
      </c>
      <c r="E29" s="15" t="s">
        <v>69</v>
      </c>
      <c r="F29" s="15" t="s">
        <v>114</v>
      </c>
      <c r="G29" s="15" t="s">
        <v>63</v>
      </c>
      <c r="H29" s="16" t="s">
        <v>151</v>
      </c>
      <c r="I29" s="16" t="s">
        <v>65</v>
      </c>
    </row>
    <row r="30" customFormat="false" ht="23.25" hidden="false" customHeight="true" outlineLevel="0" collapsed="false">
      <c r="A30" s="15" t="s">
        <v>152</v>
      </c>
      <c r="B30" s="16" t="s">
        <v>153</v>
      </c>
      <c r="C30" s="16" t="s">
        <v>146</v>
      </c>
      <c r="D30" s="15" t="s">
        <v>147</v>
      </c>
      <c r="E30" s="15" t="s">
        <v>69</v>
      </c>
      <c r="F30" s="15" t="s">
        <v>114</v>
      </c>
      <c r="G30" s="15" t="s">
        <v>63</v>
      </c>
      <c r="H30" s="16" t="s">
        <v>154</v>
      </c>
      <c r="I30" s="16" t="s">
        <v>65</v>
      </c>
    </row>
    <row r="31" customFormat="false" ht="15" hidden="false" customHeight="true" outlineLevel="0" collapsed="false">
      <c r="A31" s="15" t="s">
        <v>155</v>
      </c>
      <c r="B31" s="16" t="s">
        <v>156</v>
      </c>
      <c r="C31" s="16" t="s">
        <v>146</v>
      </c>
      <c r="D31" s="15" t="s">
        <v>147</v>
      </c>
      <c r="E31" s="15" t="s">
        <v>69</v>
      </c>
      <c r="F31" s="15" t="s">
        <v>114</v>
      </c>
      <c r="G31" s="15" t="s">
        <v>63</v>
      </c>
      <c r="H31" s="16" t="s">
        <v>157</v>
      </c>
      <c r="I31" s="16" t="s">
        <v>65</v>
      </c>
    </row>
    <row r="32" customFormat="false" ht="15" hidden="false" customHeight="true" outlineLevel="0" collapsed="false">
      <c r="A32" s="15" t="s">
        <v>158</v>
      </c>
      <c r="B32" s="16" t="s">
        <v>159</v>
      </c>
      <c r="C32" s="16" t="s">
        <v>146</v>
      </c>
      <c r="D32" s="15" t="s">
        <v>147</v>
      </c>
      <c r="E32" s="15" t="s">
        <v>69</v>
      </c>
      <c r="F32" s="15" t="s">
        <v>114</v>
      </c>
      <c r="G32" s="15" t="s">
        <v>63</v>
      </c>
      <c r="H32" s="16" t="s">
        <v>160</v>
      </c>
      <c r="I32" s="16" t="s">
        <v>65</v>
      </c>
    </row>
    <row r="33" customFormat="false" ht="15" hidden="false" customHeight="true" outlineLevel="0" collapsed="false">
      <c r="A33" s="15" t="s">
        <v>161</v>
      </c>
      <c r="B33" s="16" t="s">
        <v>162</v>
      </c>
      <c r="C33" s="16" t="s">
        <v>146</v>
      </c>
      <c r="D33" s="15" t="s">
        <v>147</v>
      </c>
      <c r="E33" s="15" t="s">
        <v>69</v>
      </c>
      <c r="F33" s="15" t="s">
        <v>114</v>
      </c>
      <c r="G33" s="15" t="s">
        <v>63</v>
      </c>
      <c r="H33" s="16" t="s">
        <v>163</v>
      </c>
      <c r="I33" s="16" t="s">
        <v>65</v>
      </c>
    </row>
    <row r="34" customFormat="false" ht="15" hidden="false" customHeight="true" outlineLevel="0" collapsed="false">
      <c r="A34" s="15" t="s">
        <v>164</v>
      </c>
      <c r="B34" s="16" t="s">
        <v>165</v>
      </c>
      <c r="C34" s="16" t="s">
        <v>146</v>
      </c>
      <c r="D34" s="15" t="s">
        <v>147</v>
      </c>
      <c r="E34" s="15" t="s">
        <v>69</v>
      </c>
      <c r="F34" s="15" t="s">
        <v>114</v>
      </c>
      <c r="G34" s="15" t="s">
        <v>63</v>
      </c>
      <c r="H34" s="16" t="s">
        <v>166</v>
      </c>
      <c r="I34" s="16" t="s">
        <v>65</v>
      </c>
    </row>
    <row r="35" customFormat="false" ht="15" hidden="false" customHeight="true" outlineLevel="0" collapsed="false">
      <c r="A35" s="17" t="s">
        <v>167</v>
      </c>
      <c r="B35" s="18" t="s">
        <v>168</v>
      </c>
      <c r="C35" s="18" t="s">
        <v>146</v>
      </c>
      <c r="D35" s="17" t="s">
        <v>147</v>
      </c>
      <c r="E35" s="17" t="s">
        <v>87</v>
      </c>
      <c r="F35" s="17" t="s">
        <v>114</v>
      </c>
      <c r="G35" s="17" t="s">
        <v>76</v>
      </c>
      <c r="H35" s="18" t="s">
        <v>169</v>
      </c>
      <c r="I35" s="18" t="s">
        <v>92</v>
      </c>
    </row>
    <row r="36" customFormat="false" ht="15" hidden="false" customHeight="true" outlineLevel="0" collapsed="false">
      <c r="A36" s="14" t="s">
        <v>170</v>
      </c>
      <c r="B36" s="14"/>
      <c r="C36" s="14"/>
      <c r="D36" s="14"/>
      <c r="E36" s="14"/>
      <c r="F36" s="14"/>
      <c r="G36" s="14"/>
      <c r="H36" s="14"/>
      <c r="I36" s="14"/>
    </row>
    <row r="37" customFormat="false" ht="15" hidden="false" customHeight="true" outlineLevel="0" collapsed="false">
      <c r="A37" s="15" t="s">
        <v>171</v>
      </c>
      <c r="B37" s="16" t="s">
        <v>172</v>
      </c>
      <c r="C37" s="16" t="s">
        <v>173</v>
      </c>
      <c r="D37" s="15" t="s">
        <v>174</v>
      </c>
      <c r="E37" s="15" t="s">
        <v>87</v>
      </c>
      <c r="F37" s="15" t="s">
        <v>114</v>
      </c>
      <c r="G37" s="15" t="s">
        <v>63</v>
      </c>
      <c r="H37" s="16" t="s">
        <v>175</v>
      </c>
      <c r="I37" s="16" t="s">
        <v>65</v>
      </c>
    </row>
    <row r="38" customFormat="false" ht="15" hidden="false" customHeight="true" outlineLevel="0" collapsed="false">
      <c r="A38" s="15" t="s">
        <v>176</v>
      </c>
      <c r="B38" s="16" t="s">
        <v>177</v>
      </c>
      <c r="C38" s="16" t="s">
        <v>173</v>
      </c>
      <c r="D38" s="15" t="s">
        <v>174</v>
      </c>
      <c r="E38" s="15" t="s">
        <v>69</v>
      </c>
      <c r="F38" s="15" t="s">
        <v>114</v>
      </c>
      <c r="G38" s="15" t="s">
        <v>63</v>
      </c>
      <c r="H38" s="16" t="s">
        <v>178</v>
      </c>
      <c r="I38" s="16" t="s">
        <v>65</v>
      </c>
    </row>
    <row r="39" customFormat="false" ht="15" hidden="false" customHeight="true" outlineLevel="0" collapsed="false">
      <c r="A39" s="15" t="s">
        <v>179</v>
      </c>
      <c r="B39" s="16" t="s">
        <v>180</v>
      </c>
      <c r="C39" s="16" t="s">
        <v>173</v>
      </c>
      <c r="D39" s="15" t="s">
        <v>174</v>
      </c>
      <c r="E39" s="15" t="s">
        <v>69</v>
      </c>
      <c r="F39" s="15" t="s">
        <v>114</v>
      </c>
      <c r="G39" s="15" t="s">
        <v>63</v>
      </c>
      <c r="H39" s="16" t="s">
        <v>181</v>
      </c>
      <c r="I39" s="16" t="s">
        <v>65</v>
      </c>
    </row>
    <row r="40" customFormat="false" ht="15" hidden="false" customHeight="true" outlineLevel="0" collapsed="false">
      <c r="A40" s="15" t="s">
        <v>182</v>
      </c>
      <c r="B40" s="16" t="s">
        <v>183</v>
      </c>
      <c r="C40" s="16" t="s">
        <v>173</v>
      </c>
      <c r="D40" s="15" t="s">
        <v>174</v>
      </c>
      <c r="E40" s="15" t="s">
        <v>69</v>
      </c>
      <c r="F40" s="15" t="s">
        <v>114</v>
      </c>
      <c r="G40" s="15" t="s">
        <v>63</v>
      </c>
      <c r="H40" s="16" t="s">
        <v>184</v>
      </c>
      <c r="I40" s="16" t="s">
        <v>65</v>
      </c>
    </row>
    <row r="41" customFormat="false" ht="15" hidden="false" customHeight="true" outlineLevel="0" collapsed="false">
      <c r="A41" s="15" t="s">
        <v>185</v>
      </c>
      <c r="B41" s="16" t="s">
        <v>186</v>
      </c>
      <c r="C41" s="16" t="s">
        <v>173</v>
      </c>
      <c r="D41" s="15" t="s">
        <v>174</v>
      </c>
      <c r="E41" s="15" t="s">
        <v>69</v>
      </c>
      <c r="F41" s="15" t="s">
        <v>114</v>
      </c>
      <c r="G41" s="15" t="s">
        <v>63</v>
      </c>
      <c r="H41" s="16" t="s">
        <v>187</v>
      </c>
      <c r="I41" s="16" t="s">
        <v>65</v>
      </c>
    </row>
    <row r="42" customFormat="false" ht="15" hidden="false" customHeight="true" outlineLevel="0" collapsed="false">
      <c r="A42" s="15" t="s">
        <v>188</v>
      </c>
      <c r="B42" s="16" t="s">
        <v>189</v>
      </c>
      <c r="C42" s="16" t="s">
        <v>173</v>
      </c>
      <c r="D42" s="15" t="s">
        <v>174</v>
      </c>
      <c r="E42" s="15" t="s">
        <v>69</v>
      </c>
      <c r="F42" s="15" t="s">
        <v>114</v>
      </c>
      <c r="G42" s="15" t="s">
        <v>63</v>
      </c>
      <c r="H42" s="16" t="s">
        <v>190</v>
      </c>
      <c r="I42" s="16" t="s">
        <v>65</v>
      </c>
    </row>
    <row r="43" customFormat="false" ht="15" hidden="false" customHeight="true" outlineLevel="0" collapsed="false">
      <c r="A43" s="15" t="s">
        <v>191</v>
      </c>
      <c r="B43" s="16" t="s">
        <v>192</v>
      </c>
      <c r="C43" s="16" t="s">
        <v>173</v>
      </c>
      <c r="D43" s="15" t="s">
        <v>174</v>
      </c>
      <c r="E43" s="15" t="s">
        <v>69</v>
      </c>
      <c r="F43" s="15" t="s">
        <v>114</v>
      </c>
      <c r="G43" s="15" t="s">
        <v>63</v>
      </c>
      <c r="H43" s="16" t="s">
        <v>193</v>
      </c>
      <c r="I43" s="16" t="s">
        <v>65</v>
      </c>
    </row>
    <row r="44" customFormat="false" ht="15" hidden="false" customHeight="true" outlineLevel="0" collapsed="false">
      <c r="A44" s="17" t="s">
        <v>194</v>
      </c>
      <c r="B44" s="18" t="s">
        <v>195</v>
      </c>
      <c r="C44" s="18" t="s">
        <v>173</v>
      </c>
      <c r="D44" s="17" t="s">
        <v>174</v>
      </c>
      <c r="E44" s="17" t="s">
        <v>87</v>
      </c>
      <c r="F44" s="17" t="s">
        <v>114</v>
      </c>
      <c r="G44" s="17" t="s">
        <v>76</v>
      </c>
      <c r="H44" s="18" t="s">
        <v>196</v>
      </c>
      <c r="I44" s="18" t="s">
        <v>197</v>
      </c>
    </row>
    <row r="45" customFormat="false" ht="15" hidden="false" customHeight="true" outlineLevel="0" collapsed="false">
      <c r="A45" s="14" t="s">
        <v>198</v>
      </c>
      <c r="B45" s="14"/>
      <c r="C45" s="14"/>
      <c r="D45" s="14"/>
      <c r="E45" s="14"/>
      <c r="F45" s="14"/>
      <c r="G45" s="14"/>
      <c r="H45" s="14"/>
      <c r="I45" s="14"/>
    </row>
    <row r="46" customFormat="false" ht="15" hidden="false" customHeight="true" outlineLevel="0" collapsed="false">
      <c r="A46" s="15" t="s">
        <v>199</v>
      </c>
      <c r="B46" s="16" t="s">
        <v>200</v>
      </c>
      <c r="C46" s="16" t="s">
        <v>201</v>
      </c>
      <c r="D46" s="15" t="s">
        <v>202</v>
      </c>
      <c r="E46" s="15" t="s">
        <v>87</v>
      </c>
      <c r="F46" s="15" t="s">
        <v>114</v>
      </c>
      <c r="G46" s="15" t="s">
        <v>63</v>
      </c>
      <c r="H46" s="16" t="s">
        <v>203</v>
      </c>
      <c r="I46" s="16" t="s">
        <v>65</v>
      </c>
    </row>
    <row r="47" customFormat="false" ht="15" hidden="false" customHeight="true" outlineLevel="0" collapsed="false">
      <c r="A47" s="15" t="s">
        <v>204</v>
      </c>
      <c r="B47" s="16" t="s">
        <v>205</v>
      </c>
      <c r="C47" s="16" t="s">
        <v>201</v>
      </c>
      <c r="D47" s="15" t="s">
        <v>202</v>
      </c>
      <c r="E47" s="15" t="s">
        <v>69</v>
      </c>
      <c r="F47" s="15" t="s">
        <v>114</v>
      </c>
      <c r="G47" s="15" t="s">
        <v>63</v>
      </c>
      <c r="H47" s="16" t="s">
        <v>206</v>
      </c>
      <c r="I47" s="16" t="s">
        <v>65</v>
      </c>
    </row>
    <row r="48" customFormat="false" ht="15" hidden="false" customHeight="true" outlineLevel="0" collapsed="false">
      <c r="A48" s="15" t="s">
        <v>207</v>
      </c>
      <c r="B48" s="16" t="s">
        <v>208</v>
      </c>
      <c r="C48" s="16" t="s">
        <v>201</v>
      </c>
      <c r="D48" s="15" t="s">
        <v>202</v>
      </c>
      <c r="E48" s="15" t="s">
        <v>69</v>
      </c>
      <c r="F48" s="15" t="s">
        <v>114</v>
      </c>
      <c r="G48" s="15" t="s">
        <v>63</v>
      </c>
      <c r="H48" s="16" t="s">
        <v>209</v>
      </c>
      <c r="I48" s="16" t="s">
        <v>65</v>
      </c>
    </row>
    <row r="49" customFormat="false" ht="15" hidden="false" customHeight="true" outlineLevel="0" collapsed="false">
      <c r="A49" s="15" t="s">
        <v>210</v>
      </c>
      <c r="B49" s="16" t="s">
        <v>211</v>
      </c>
      <c r="C49" s="16" t="s">
        <v>201</v>
      </c>
      <c r="D49" s="15" t="s">
        <v>202</v>
      </c>
      <c r="E49" s="15" t="s">
        <v>69</v>
      </c>
      <c r="F49" s="15" t="s">
        <v>114</v>
      </c>
      <c r="G49" s="15" t="s">
        <v>63</v>
      </c>
      <c r="H49" s="16" t="s">
        <v>212</v>
      </c>
      <c r="I49" s="16" t="s">
        <v>65</v>
      </c>
    </row>
    <row r="50" customFormat="false" ht="15" hidden="false" customHeight="true" outlineLevel="0" collapsed="false">
      <c r="A50" s="15" t="s">
        <v>213</v>
      </c>
      <c r="B50" s="16" t="s">
        <v>214</v>
      </c>
      <c r="C50" s="16" t="s">
        <v>201</v>
      </c>
      <c r="D50" s="15" t="s">
        <v>202</v>
      </c>
      <c r="E50" s="15" t="s">
        <v>69</v>
      </c>
      <c r="F50" s="15" t="s">
        <v>114</v>
      </c>
      <c r="G50" s="15" t="s">
        <v>63</v>
      </c>
      <c r="H50" s="16" t="s">
        <v>215</v>
      </c>
      <c r="I50" s="16" t="s">
        <v>65</v>
      </c>
    </row>
    <row r="51" customFormat="false" ht="15" hidden="false" customHeight="true" outlineLevel="0" collapsed="false">
      <c r="A51" s="15" t="s">
        <v>216</v>
      </c>
      <c r="B51" s="16" t="s">
        <v>217</v>
      </c>
      <c r="C51" s="16" t="s">
        <v>201</v>
      </c>
      <c r="D51" s="15" t="s">
        <v>202</v>
      </c>
      <c r="E51" s="15" t="s">
        <v>69</v>
      </c>
      <c r="F51" s="15" t="s">
        <v>114</v>
      </c>
      <c r="G51" s="15" t="s">
        <v>63</v>
      </c>
      <c r="H51" s="16" t="s">
        <v>218</v>
      </c>
      <c r="I51" s="16" t="s">
        <v>65</v>
      </c>
    </row>
    <row r="52" customFormat="false" ht="15" hidden="false" customHeight="true" outlineLevel="0" collapsed="false">
      <c r="A52" s="15" t="s">
        <v>219</v>
      </c>
      <c r="B52" s="16" t="s">
        <v>220</v>
      </c>
      <c r="C52" s="16" t="s">
        <v>201</v>
      </c>
      <c r="D52" s="15" t="s">
        <v>202</v>
      </c>
      <c r="E52" s="15" t="s">
        <v>69</v>
      </c>
      <c r="F52" s="15" t="s">
        <v>114</v>
      </c>
      <c r="G52" s="15" t="s">
        <v>63</v>
      </c>
      <c r="H52" s="16" t="s">
        <v>221</v>
      </c>
      <c r="I52" s="16" t="s">
        <v>65</v>
      </c>
    </row>
    <row r="53" customFormat="false" ht="15" hidden="false" customHeight="true" outlineLevel="0" collapsed="false">
      <c r="A53" s="19" t="s">
        <v>222</v>
      </c>
      <c r="B53" s="20" t="s">
        <v>223</v>
      </c>
      <c r="C53" s="20" t="s">
        <v>201</v>
      </c>
      <c r="D53" s="19" t="s">
        <v>202</v>
      </c>
      <c r="E53" s="19" t="s">
        <v>69</v>
      </c>
      <c r="F53" s="19" t="s">
        <v>114</v>
      </c>
      <c r="G53" s="19" t="s">
        <v>224</v>
      </c>
      <c r="H53" s="20" t="s">
        <v>225</v>
      </c>
      <c r="I53" s="20" t="s">
        <v>92</v>
      </c>
    </row>
    <row r="54" customFormat="false" ht="15" hidden="false" customHeight="true" outlineLevel="0" collapsed="false">
      <c r="A54" s="14" t="s">
        <v>226</v>
      </c>
      <c r="B54" s="14"/>
      <c r="C54" s="14"/>
      <c r="D54" s="14"/>
      <c r="E54" s="14"/>
      <c r="F54" s="14"/>
      <c r="G54" s="14"/>
      <c r="H54" s="14"/>
      <c r="I54" s="14"/>
    </row>
    <row r="55" customFormat="false" ht="23.25" hidden="false" customHeight="true" outlineLevel="0" collapsed="false">
      <c r="A55" s="15" t="s">
        <v>227</v>
      </c>
      <c r="B55" s="16" t="s">
        <v>228</v>
      </c>
      <c r="C55" s="16" t="s">
        <v>229</v>
      </c>
      <c r="D55" s="15" t="s">
        <v>230</v>
      </c>
      <c r="E55" s="15" t="s">
        <v>87</v>
      </c>
      <c r="F55" s="15" t="s">
        <v>114</v>
      </c>
      <c r="G55" s="15" t="s">
        <v>63</v>
      </c>
      <c r="H55" s="16" t="s">
        <v>231</v>
      </c>
      <c r="I55" s="16" t="s">
        <v>65</v>
      </c>
    </row>
    <row r="56" customFormat="false" ht="15" hidden="false" customHeight="true" outlineLevel="0" collapsed="false">
      <c r="A56" s="15" t="s">
        <v>232</v>
      </c>
      <c r="B56" s="16" t="s">
        <v>233</v>
      </c>
      <c r="C56" s="16" t="s">
        <v>229</v>
      </c>
      <c r="D56" s="15" t="s">
        <v>230</v>
      </c>
      <c r="E56" s="15" t="s">
        <v>69</v>
      </c>
      <c r="F56" s="15" t="s">
        <v>114</v>
      </c>
      <c r="G56" s="15" t="s">
        <v>63</v>
      </c>
      <c r="H56" s="16" t="s">
        <v>234</v>
      </c>
      <c r="I56" s="16" t="s">
        <v>65</v>
      </c>
    </row>
    <row r="57" customFormat="false" ht="15" hidden="false" customHeight="true" outlineLevel="0" collapsed="false">
      <c r="A57" s="15" t="s">
        <v>235</v>
      </c>
      <c r="B57" s="16" t="s">
        <v>236</v>
      </c>
      <c r="C57" s="16" t="s">
        <v>229</v>
      </c>
      <c r="D57" s="15" t="s">
        <v>230</v>
      </c>
      <c r="E57" s="15" t="s">
        <v>69</v>
      </c>
      <c r="F57" s="15" t="s">
        <v>114</v>
      </c>
      <c r="G57" s="15" t="s">
        <v>63</v>
      </c>
      <c r="H57" s="16" t="s">
        <v>237</v>
      </c>
      <c r="I57" s="16" t="s">
        <v>65</v>
      </c>
    </row>
    <row r="58" customFormat="false" ht="15" hidden="false" customHeight="true" outlineLevel="0" collapsed="false">
      <c r="A58" s="15" t="s">
        <v>238</v>
      </c>
      <c r="B58" s="16" t="s">
        <v>239</v>
      </c>
      <c r="C58" s="16" t="s">
        <v>229</v>
      </c>
      <c r="D58" s="15" t="s">
        <v>230</v>
      </c>
      <c r="E58" s="15" t="s">
        <v>69</v>
      </c>
      <c r="F58" s="15" t="s">
        <v>114</v>
      </c>
      <c r="G58" s="15" t="s">
        <v>63</v>
      </c>
      <c r="H58" s="16" t="s">
        <v>240</v>
      </c>
      <c r="I58" s="16" t="s">
        <v>65</v>
      </c>
    </row>
    <row r="59" customFormat="false" ht="15" hidden="false" customHeight="true" outlineLevel="0" collapsed="false">
      <c r="A59" s="15" t="s">
        <v>241</v>
      </c>
      <c r="B59" s="16" t="s">
        <v>242</v>
      </c>
      <c r="C59" s="16" t="s">
        <v>229</v>
      </c>
      <c r="D59" s="15" t="s">
        <v>230</v>
      </c>
      <c r="E59" s="15" t="s">
        <v>69</v>
      </c>
      <c r="F59" s="15" t="s">
        <v>114</v>
      </c>
      <c r="G59" s="15" t="s">
        <v>63</v>
      </c>
      <c r="H59" s="16" t="s">
        <v>243</v>
      </c>
      <c r="I59" s="16" t="s">
        <v>65</v>
      </c>
    </row>
    <row r="60" customFormat="false" ht="15" hidden="false" customHeight="true" outlineLevel="0" collapsed="false">
      <c r="A60" s="15" t="s">
        <v>244</v>
      </c>
      <c r="B60" s="16" t="s">
        <v>245</v>
      </c>
      <c r="C60" s="16" t="s">
        <v>229</v>
      </c>
      <c r="D60" s="15" t="s">
        <v>230</v>
      </c>
      <c r="E60" s="15" t="s">
        <v>69</v>
      </c>
      <c r="F60" s="15" t="s">
        <v>114</v>
      </c>
      <c r="G60" s="15" t="s">
        <v>63</v>
      </c>
      <c r="H60" s="16" t="s">
        <v>246</v>
      </c>
      <c r="I60" s="16" t="s">
        <v>65</v>
      </c>
    </row>
    <row r="61" customFormat="false" ht="15" hidden="false" customHeight="true" outlineLevel="0" collapsed="false">
      <c r="A61" s="15" t="s">
        <v>247</v>
      </c>
      <c r="B61" s="16" t="s">
        <v>248</v>
      </c>
      <c r="C61" s="16" t="s">
        <v>229</v>
      </c>
      <c r="D61" s="15" t="s">
        <v>230</v>
      </c>
      <c r="E61" s="15" t="s">
        <v>69</v>
      </c>
      <c r="F61" s="15" t="s">
        <v>114</v>
      </c>
      <c r="G61" s="15" t="s">
        <v>63</v>
      </c>
      <c r="H61" s="16" t="s">
        <v>249</v>
      </c>
      <c r="I61" s="16" t="s">
        <v>65</v>
      </c>
    </row>
    <row r="62" customFormat="false" ht="23.25" hidden="false" customHeight="true" outlineLevel="0" collapsed="false">
      <c r="A62" s="19" t="s">
        <v>250</v>
      </c>
      <c r="B62" s="20" t="s">
        <v>251</v>
      </c>
      <c r="C62" s="20" t="s">
        <v>229</v>
      </c>
      <c r="D62" s="19" t="s">
        <v>230</v>
      </c>
      <c r="E62" s="19" t="s">
        <v>69</v>
      </c>
      <c r="F62" s="19" t="s">
        <v>114</v>
      </c>
      <c r="G62" s="19" t="s">
        <v>224</v>
      </c>
      <c r="H62" s="20" t="s">
        <v>252</v>
      </c>
      <c r="I62" s="20" t="s">
        <v>92</v>
      </c>
    </row>
    <row r="63" customFormat="false" ht="15" hidden="false" customHeight="true" outlineLevel="0" collapsed="false">
      <c r="A63" s="14" t="s">
        <v>253</v>
      </c>
      <c r="B63" s="14"/>
      <c r="C63" s="14"/>
      <c r="D63" s="14"/>
      <c r="E63" s="14"/>
      <c r="F63" s="14"/>
      <c r="G63" s="14"/>
      <c r="H63" s="14"/>
      <c r="I63" s="14"/>
    </row>
    <row r="64" customFormat="false" ht="15" hidden="false" customHeight="true" outlineLevel="0" collapsed="false">
      <c r="A64" s="15" t="s">
        <v>254</v>
      </c>
      <c r="B64" s="16" t="s">
        <v>255</v>
      </c>
      <c r="C64" s="16" t="s">
        <v>256</v>
      </c>
      <c r="D64" s="15" t="s">
        <v>257</v>
      </c>
      <c r="E64" s="15" t="s">
        <v>87</v>
      </c>
      <c r="F64" s="15" t="s">
        <v>114</v>
      </c>
      <c r="G64" s="15" t="s">
        <v>63</v>
      </c>
      <c r="H64" s="16" t="s">
        <v>258</v>
      </c>
      <c r="I64" s="16" t="s">
        <v>65</v>
      </c>
    </row>
    <row r="65" customFormat="false" ht="15" hidden="false" customHeight="true" outlineLevel="0" collapsed="false">
      <c r="A65" s="15" t="s">
        <v>259</v>
      </c>
      <c r="B65" s="16" t="s">
        <v>260</v>
      </c>
      <c r="C65" s="16" t="s">
        <v>256</v>
      </c>
      <c r="D65" s="15" t="s">
        <v>257</v>
      </c>
      <c r="E65" s="15" t="s">
        <v>69</v>
      </c>
      <c r="F65" s="15" t="s">
        <v>114</v>
      </c>
      <c r="G65" s="15" t="s">
        <v>63</v>
      </c>
      <c r="H65" s="16" t="s">
        <v>261</v>
      </c>
      <c r="I65" s="16" t="s">
        <v>65</v>
      </c>
    </row>
    <row r="66" customFormat="false" ht="15" hidden="false" customHeight="true" outlineLevel="0" collapsed="false">
      <c r="A66" s="15" t="s">
        <v>262</v>
      </c>
      <c r="B66" s="16" t="s">
        <v>263</v>
      </c>
      <c r="C66" s="16" t="s">
        <v>256</v>
      </c>
      <c r="D66" s="15" t="s">
        <v>257</v>
      </c>
      <c r="E66" s="15" t="s">
        <v>69</v>
      </c>
      <c r="F66" s="15" t="s">
        <v>114</v>
      </c>
      <c r="G66" s="15" t="s">
        <v>63</v>
      </c>
      <c r="H66" s="16" t="s">
        <v>264</v>
      </c>
      <c r="I66" s="16" t="s">
        <v>65</v>
      </c>
    </row>
    <row r="67" customFormat="false" ht="15" hidden="false" customHeight="true" outlineLevel="0" collapsed="false">
      <c r="A67" s="15" t="s">
        <v>265</v>
      </c>
      <c r="B67" s="16" t="s">
        <v>266</v>
      </c>
      <c r="C67" s="16" t="s">
        <v>256</v>
      </c>
      <c r="D67" s="15" t="s">
        <v>257</v>
      </c>
      <c r="E67" s="15" t="s">
        <v>69</v>
      </c>
      <c r="F67" s="15" t="s">
        <v>114</v>
      </c>
      <c r="G67" s="15" t="s">
        <v>63</v>
      </c>
      <c r="H67" s="16" t="s">
        <v>267</v>
      </c>
      <c r="I67" s="16" t="s">
        <v>65</v>
      </c>
    </row>
    <row r="68" customFormat="false" ht="15" hidden="false" customHeight="true" outlineLevel="0" collapsed="false">
      <c r="A68" s="15" t="s">
        <v>268</v>
      </c>
      <c r="B68" s="16" t="s">
        <v>269</v>
      </c>
      <c r="C68" s="16" t="s">
        <v>256</v>
      </c>
      <c r="D68" s="15" t="s">
        <v>257</v>
      </c>
      <c r="E68" s="15" t="s">
        <v>69</v>
      </c>
      <c r="F68" s="15" t="s">
        <v>114</v>
      </c>
      <c r="G68" s="15" t="s">
        <v>63</v>
      </c>
      <c r="H68" s="16" t="s">
        <v>270</v>
      </c>
      <c r="I68" s="16" t="s">
        <v>65</v>
      </c>
    </row>
    <row r="69" customFormat="false" ht="15" hidden="false" customHeight="true" outlineLevel="0" collapsed="false">
      <c r="A69" s="15" t="s">
        <v>271</v>
      </c>
      <c r="B69" s="16" t="s">
        <v>272</v>
      </c>
      <c r="C69" s="16" t="s">
        <v>256</v>
      </c>
      <c r="D69" s="15" t="s">
        <v>257</v>
      </c>
      <c r="E69" s="15" t="s">
        <v>69</v>
      </c>
      <c r="F69" s="15" t="s">
        <v>114</v>
      </c>
      <c r="G69" s="15" t="s">
        <v>63</v>
      </c>
      <c r="H69" s="16" t="s">
        <v>273</v>
      </c>
      <c r="I69" s="16" t="s">
        <v>65</v>
      </c>
    </row>
    <row r="70" customFormat="false" ht="15" hidden="false" customHeight="true" outlineLevel="0" collapsed="false">
      <c r="A70" s="15" t="s">
        <v>274</v>
      </c>
      <c r="B70" s="16" t="s">
        <v>275</v>
      </c>
      <c r="C70" s="16" t="s">
        <v>256</v>
      </c>
      <c r="D70" s="15" t="s">
        <v>257</v>
      </c>
      <c r="E70" s="15" t="s">
        <v>69</v>
      </c>
      <c r="F70" s="15" t="s">
        <v>114</v>
      </c>
      <c r="G70" s="15" t="s">
        <v>63</v>
      </c>
      <c r="H70" s="16" t="s">
        <v>276</v>
      </c>
      <c r="I70" s="16" t="s">
        <v>65</v>
      </c>
    </row>
    <row r="71" customFormat="false" ht="15" hidden="false" customHeight="true" outlineLevel="0" collapsed="false">
      <c r="A71" s="19" t="s">
        <v>277</v>
      </c>
      <c r="B71" s="20" t="s">
        <v>278</v>
      </c>
      <c r="C71" s="20" t="s">
        <v>256</v>
      </c>
      <c r="D71" s="19" t="s">
        <v>257</v>
      </c>
      <c r="E71" s="19" t="s">
        <v>69</v>
      </c>
      <c r="F71" s="19" t="s">
        <v>114</v>
      </c>
      <c r="G71" s="19" t="s">
        <v>224</v>
      </c>
      <c r="H71" s="20" t="s">
        <v>279</v>
      </c>
      <c r="I71" s="20" t="s">
        <v>197</v>
      </c>
    </row>
    <row r="72" customFormat="false" ht="15" hidden="false" customHeight="true" outlineLevel="0" collapsed="false">
      <c r="A72" s="14" t="s">
        <v>280</v>
      </c>
      <c r="B72" s="14"/>
      <c r="C72" s="14"/>
      <c r="D72" s="14"/>
      <c r="E72" s="14"/>
      <c r="F72" s="14"/>
      <c r="G72" s="14"/>
      <c r="H72" s="14"/>
      <c r="I72" s="14"/>
    </row>
    <row r="73" customFormat="false" ht="23.25" hidden="false" customHeight="true" outlineLevel="0" collapsed="false">
      <c r="A73" s="15" t="s">
        <v>281</v>
      </c>
      <c r="B73" s="16" t="s">
        <v>282</v>
      </c>
      <c r="C73" s="16" t="s">
        <v>283</v>
      </c>
      <c r="D73" s="15" t="s">
        <v>284</v>
      </c>
      <c r="E73" s="15" t="s">
        <v>87</v>
      </c>
      <c r="F73" s="15" t="s">
        <v>114</v>
      </c>
      <c r="G73" s="15" t="s">
        <v>63</v>
      </c>
      <c r="H73" s="16" t="s">
        <v>285</v>
      </c>
      <c r="I73" s="16" t="s">
        <v>65</v>
      </c>
    </row>
    <row r="74" customFormat="false" ht="15" hidden="false" customHeight="true" outlineLevel="0" collapsed="false">
      <c r="A74" s="15" t="s">
        <v>286</v>
      </c>
      <c r="B74" s="16" t="s">
        <v>287</v>
      </c>
      <c r="C74" s="16" t="s">
        <v>283</v>
      </c>
      <c r="D74" s="15" t="s">
        <v>284</v>
      </c>
      <c r="E74" s="15" t="s">
        <v>69</v>
      </c>
      <c r="F74" s="15" t="s">
        <v>114</v>
      </c>
      <c r="G74" s="15" t="s">
        <v>63</v>
      </c>
      <c r="H74" s="16" t="s">
        <v>288</v>
      </c>
      <c r="I74" s="16" t="s">
        <v>65</v>
      </c>
    </row>
    <row r="75" customFormat="false" ht="15" hidden="false" customHeight="true" outlineLevel="0" collapsed="false">
      <c r="A75" s="15" t="s">
        <v>289</v>
      </c>
      <c r="B75" s="16" t="s">
        <v>290</v>
      </c>
      <c r="C75" s="16" t="s">
        <v>283</v>
      </c>
      <c r="D75" s="15" t="s">
        <v>284</v>
      </c>
      <c r="E75" s="15" t="s">
        <v>69</v>
      </c>
      <c r="F75" s="15" t="s">
        <v>114</v>
      </c>
      <c r="G75" s="15" t="s">
        <v>63</v>
      </c>
      <c r="H75" s="16" t="s">
        <v>291</v>
      </c>
      <c r="I75" s="16" t="s">
        <v>65</v>
      </c>
    </row>
    <row r="76" customFormat="false" ht="15" hidden="false" customHeight="true" outlineLevel="0" collapsed="false">
      <c r="A76" s="15" t="s">
        <v>292</v>
      </c>
      <c r="B76" s="16" t="s">
        <v>293</v>
      </c>
      <c r="C76" s="16" t="s">
        <v>283</v>
      </c>
      <c r="D76" s="15" t="s">
        <v>284</v>
      </c>
      <c r="E76" s="15" t="s">
        <v>69</v>
      </c>
      <c r="F76" s="15" t="s">
        <v>114</v>
      </c>
      <c r="G76" s="15" t="s">
        <v>63</v>
      </c>
      <c r="H76" s="16" t="s">
        <v>294</v>
      </c>
      <c r="I76" s="16" t="s">
        <v>65</v>
      </c>
    </row>
    <row r="77" customFormat="false" ht="15" hidden="false" customHeight="true" outlineLevel="0" collapsed="false">
      <c r="A77" s="15" t="s">
        <v>295</v>
      </c>
      <c r="B77" s="16" t="s">
        <v>296</v>
      </c>
      <c r="C77" s="16" t="s">
        <v>283</v>
      </c>
      <c r="D77" s="15" t="s">
        <v>284</v>
      </c>
      <c r="E77" s="15" t="s">
        <v>69</v>
      </c>
      <c r="F77" s="15" t="s">
        <v>114</v>
      </c>
      <c r="G77" s="15" t="s">
        <v>63</v>
      </c>
      <c r="H77" s="16" t="s">
        <v>297</v>
      </c>
      <c r="I77" s="16" t="s">
        <v>65</v>
      </c>
    </row>
    <row r="78" customFormat="false" ht="15" hidden="false" customHeight="true" outlineLevel="0" collapsed="false">
      <c r="A78" s="15" t="s">
        <v>298</v>
      </c>
      <c r="B78" s="16" t="s">
        <v>299</v>
      </c>
      <c r="C78" s="16" t="s">
        <v>283</v>
      </c>
      <c r="D78" s="15" t="s">
        <v>284</v>
      </c>
      <c r="E78" s="15" t="s">
        <v>69</v>
      </c>
      <c r="F78" s="15" t="s">
        <v>114</v>
      </c>
      <c r="G78" s="15" t="s">
        <v>63</v>
      </c>
      <c r="H78" s="16" t="s">
        <v>300</v>
      </c>
      <c r="I78" s="16" t="s">
        <v>65</v>
      </c>
    </row>
    <row r="79" customFormat="false" ht="15" hidden="false" customHeight="true" outlineLevel="0" collapsed="false">
      <c r="A79" s="15" t="s">
        <v>301</v>
      </c>
      <c r="B79" s="16" t="s">
        <v>302</v>
      </c>
      <c r="C79" s="16" t="s">
        <v>283</v>
      </c>
      <c r="D79" s="15" t="s">
        <v>284</v>
      </c>
      <c r="E79" s="15" t="s">
        <v>69</v>
      </c>
      <c r="F79" s="15" t="s">
        <v>114</v>
      </c>
      <c r="G79" s="15" t="s">
        <v>63</v>
      </c>
      <c r="H79" s="16" t="s">
        <v>303</v>
      </c>
      <c r="I79" s="16" t="s">
        <v>65</v>
      </c>
    </row>
    <row r="80" customFormat="false" ht="23.25" hidden="false" customHeight="true" outlineLevel="0" collapsed="false">
      <c r="A80" s="19" t="s">
        <v>304</v>
      </c>
      <c r="B80" s="20" t="s">
        <v>305</v>
      </c>
      <c r="C80" s="20" t="s">
        <v>283</v>
      </c>
      <c r="D80" s="19" t="s">
        <v>284</v>
      </c>
      <c r="E80" s="19" t="s">
        <v>69</v>
      </c>
      <c r="F80" s="19" t="s">
        <v>114</v>
      </c>
      <c r="G80" s="19" t="s">
        <v>224</v>
      </c>
      <c r="H80" s="20" t="s">
        <v>306</v>
      </c>
      <c r="I80" s="20" t="s">
        <v>92</v>
      </c>
    </row>
    <row r="81" customFormat="false" ht="15" hidden="false" customHeight="true" outlineLevel="0" collapsed="false">
      <c r="A81" s="14" t="s">
        <v>307</v>
      </c>
      <c r="B81" s="14"/>
      <c r="C81" s="14"/>
      <c r="D81" s="14"/>
      <c r="E81" s="14"/>
      <c r="F81" s="14"/>
      <c r="G81" s="14"/>
      <c r="H81" s="14"/>
      <c r="I81" s="14"/>
    </row>
    <row r="82" customFormat="false" ht="23.25" hidden="false" customHeight="true" outlineLevel="0" collapsed="false">
      <c r="A82" s="15" t="s">
        <v>308</v>
      </c>
      <c r="B82" s="16" t="s">
        <v>309</v>
      </c>
      <c r="C82" s="16" t="s">
        <v>310</v>
      </c>
      <c r="D82" s="15" t="s">
        <v>311</v>
      </c>
      <c r="E82" s="15" t="s">
        <v>87</v>
      </c>
      <c r="F82" s="15" t="s">
        <v>114</v>
      </c>
      <c r="G82" s="15" t="s">
        <v>63</v>
      </c>
      <c r="H82" s="16" t="s">
        <v>312</v>
      </c>
      <c r="I82" s="16" t="s">
        <v>65</v>
      </c>
    </row>
    <row r="83" customFormat="false" ht="15" hidden="false" customHeight="true" outlineLevel="0" collapsed="false">
      <c r="A83" s="15" t="s">
        <v>313</v>
      </c>
      <c r="B83" s="16" t="s">
        <v>314</v>
      </c>
      <c r="C83" s="16" t="s">
        <v>310</v>
      </c>
      <c r="D83" s="15" t="s">
        <v>311</v>
      </c>
      <c r="E83" s="15" t="s">
        <v>69</v>
      </c>
      <c r="F83" s="15" t="s">
        <v>114</v>
      </c>
      <c r="G83" s="15" t="s">
        <v>63</v>
      </c>
      <c r="H83" s="16" t="s">
        <v>315</v>
      </c>
      <c r="I83" s="16" t="s">
        <v>65</v>
      </c>
    </row>
    <row r="84" customFormat="false" ht="15" hidden="false" customHeight="true" outlineLevel="0" collapsed="false">
      <c r="A84" s="15" t="s">
        <v>316</v>
      </c>
      <c r="B84" s="16" t="s">
        <v>317</v>
      </c>
      <c r="C84" s="16" t="s">
        <v>310</v>
      </c>
      <c r="D84" s="15" t="s">
        <v>311</v>
      </c>
      <c r="E84" s="15" t="s">
        <v>69</v>
      </c>
      <c r="F84" s="15" t="s">
        <v>114</v>
      </c>
      <c r="G84" s="15" t="s">
        <v>63</v>
      </c>
      <c r="H84" s="16" t="s">
        <v>318</v>
      </c>
      <c r="I84" s="16" t="s">
        <v>65</v>
      </c>
    </row>
    <row r="85" customFormat="false" ht="15" hidden="false" customHeight="true" outlineLevel="0" collapsed="false">
      <c r="A85" s="15" t="s">
        <v>319</v>
      </c>
      <c r="B85" s="16" t="s">
        <v>320</v>
      </c>
      <c r="C85" s="16" t="s">
        <v>310</v>
      </c>
      <c r="D85" s="15" t="s">
        <v>311</v>
      </c>
      <c r="E85" s="15" t="s">
        <v>69</v>
      </c>
      <c r="F85" s="15" t="s">
        <v>114</v>
      </c>
      <c r="G85" s="15" t="s">
        <v>63</v>
      </c>
      <c r="H85" s="16" t="s">
        <v>321</v>
      </c>
      <c r="I85" s="16" t="s">
        <v>65</v>
      </c>
    </row>
    <row r="86" customFormat="false" ht="15" hidden="false" customHeight="true" outlineLevel="0" collapsed="false">
      <c r="A86" s="15" t="s">
        <v>322</v>
      </c>
      <c r="B86" s="16" t="s">
        <v>323</v>
      </c>
      <c r="C86" s="16" t="s">
        <v>310</v>
      </c>
      <c r="D86" s="15" t="s">
        <v>311</v>
      </c>
      <c r="E86" s="15" t="s">
        <v>69</v>
      </c>
      <c r="F86" s="15" t="s">
        <v>114</v>
      </c>
      <c r="G86" s="15" t="s">
        <v>63</v>
      </c>
      <c r="H86" s="16" t="s">
        <v>324</v>
      </c>
      <c r="I86" s="16" t="s">
        <v>65</v>
      </c>
    </row>
    <row r="87" customFormat="false" ht="15" hidden="false" customHeight="true" outlineLevel="0" collapsed="false">
      <c r="A87" s="15" t="s">
        <v>325</v>
      </c>
      <c r="B87" s="16" t="s">
        <v>326</v>
      </c>
      <c r="C87" s="16" t="s">
        <v>310</v>
      </c>
      <c r="D87" s="15" t="s">
        <v>311</v>
      </c>
      <c r="E87" s="15" t="s">
        <v>69</v>
      </c>
      <c r="F87" s="15" t="s">
        <v>114</v>
      </c>
      <c r="G87" s="15" t="s">
        <v>63</v>
      </c>
      <c r="H87" s="16" t="s">
        <v>327</v>
      </c>
      <c r="I87" s="16" t="s">
        <v>65</v>
      </c>
    </row>
    <row r="88" customFormat="false" ht="15" hidden="false" customHeight="true" outlineLevel="0" collapsed="false">
      <c r="A88" s="15" t="s">
        <v>328</v>
      </c>
      <c r="B88" s="16" t="s">
        <v>329</v>
      </c>
      <c r="C88" s="16" t="s">
        <v>310</v>
      </c>
      <c r="D88" s="15" t="s">
        <v>311</v>
      </c>
      <c r="E88" s="15" t="s">
        <v>69</v>
      </c>
      <c r="F88" s="15" t="s">
        <v>114</v>
      </c>
      <c r="G88" s="15" t="s">
        <v>63</v>
      </c>
      <c r="H88" s="16" t="s">
        <v>330</v>
      </c>
      <c r="I88" s="16" t="s">
        <v>65</v>
      </c>
    </row>
    <row r="89" customFormat="false" ht="23.25" hidden="false" customHeight="true" outlineLevel="0" collapsed="false">
      <c r="A89" s="19" t="s">
        <v>331</v>
      </c>
      <c r="B89" s="20" t="s">
        <v>332</v>
      </c>
      <c r="C89" s="20" t="s">
        <v>310</v>
      </c>
      <c r="D89" s="19" t="s">
        <v>311</v>
      </c>
      <c r="E89" s="19" t="s">
        <v>69</v>
      </c>
      <c r="F89" s="19" t="s">
        <v>114</v>
      </c>
      <c r="G89" s="19" t="s">
        <v>224</v>
      </c>
      <c r="H89" s="20" t="s">
        <v>333</v>
      </c>
      <c r="I89" s="20" t="s">
        <v>92</v>
      </c>
    </row>
    <row r="90" customFormat="false" ht="15" hidden="false" customHeight="true" outlineLevel="0" collapsed="false">
      <c r="A90" s="14" t="s">
        <v>334</v>
      </c>
      <c r="B90" s="14"/>
      <c r="C90" s="14"/>
      <c r="D90" s="14"/>
      <c r="E90" s="14"/>
      <c r="F90" s="14"/>
      <c r="G90" s="14"/>
      <c r="H90" s="14"/>
      <c r="I90" s="14"/>
    </row>
    <row r="91" customFormat="false" ht="23.25" hidden="false" customHeight="true" outlineLevel="0" collapsed="false">
      <c r="A91" s="15" t="s">
        <v>335</v>
      </c>
      <c r="B91" s="16" t="s">
        <v>336</v>
      </c>
      <c r="C91" s="16" t="s">
        <v>337</v>
      </c>
      <c r="D91" s="15" t="s">
        <v>60</v>
      </c>
      <c r="E91" s="15" t="s">
        <v>87</v>
      </c>
      <c r="F91" s="15" t="s">
        <v>114</v>
      </c>
      <c r="G91" s="15" t="s">
        <v>63</v>
      </c>
      <c r="H91" s="16" t="s">
        <v>338</v>
      </c>
      <c r="I91" s="16" t="s">
        <v>65</v>
      </c>
    </row>
    <row r="92" customFormat="false" ht="15" hidden="false" customHeight="true" outlineLevel="0" collapsed="false">
      <c r="A92" s="15" t="s">
        <v>339</v>
      </c>
      <c r="B92" s="16" t="s">
        <v>340</v>
      </c>
      <c r="C92" s="16" t="s">
        <v>337</v>
      </c>
      <c r="D92" s="15" t="s">
        <v>60</v>
      </c>
      <c r="E92" s="15" t="s">
        <v>69</v>
      </c>
      <c r="F92" s="15" t="s">
        <v>114</v>
      </c>
      <c r="G92" s="15" t="s">
        <v>63</v>
      </c>
      <c r="H92" s="16" t="s">
        <v>341</v>
      </c>
      <c r="I92" s="16" t="s">
        <v>65</v>
      </c>
    </row>
    <row r="93" customFormat="false" ht="15" hidden="false" customHeight="true" outlineLevel="0" collapsed="false">
      <c r="A93" s="15" t="s">
        <v>342</v>
      </c>
      <c r="B93" s="16" t="s">
        <v>343</v>
      </c>
      <c r="C93" s="16" t="s">
        <v>337</v>
      </c>
      <c r="D93" s="15" t="s">
        <v>60</v>
      </c>
      <c r="E93" s="15" t="s">
        <v>69</v>
      </c>
      <c r="F93" s="15" t="s">
        <v>114</v>
      </c>
      <c r="G93" s="15" t="s">
        <v>63</v>
      </c>
      <c r="H93" s="16" t="s">
        <v>344</v>
      </c>
      <c r="I93" s="16" t="s">
        <v>65</v>
      </c>
    </row>
    <row r="94" customFormat="false" ht="15" hidden="false" customHeight="true" outlineLevel="0" collapsed="false">
      <c r="A94" s="15" t="s">
        <v>345</v>
      </c>
      <c r="B94" s="16" t="s">
        <v>346</v>
      </c>
      <c r="C94" s="16" t="s">
        <v>337</v>
      </c>
      <c r="D94" s="15" t="s">
        <v>60</v>
      </c>
      <c r="E94" s="15" t="s">
        <v>69</v>
      </c>
      <c r="F94" s="15" t="s">
        <v>114</v>
      </c>
      <c r="G94" s="15" t="s">
        <v>63</v>
      </c>
      <c r="H94" s="16" t="s">
        <v>347</v>
      </c>
      <c r="I94" s="16" t="s">
        <v>65</v>
      </c>
    </row>
    <row r="95" customFormat="false" ht="15" hidden="false" customHeight="true" outlineLevel="0" collapsed="false">
      <c r="A95" s="15" t="s">
        <v>348</v>
      </c>
      <c r="B95" s="16" t="s">
        <v>349</v>
      </c>
      <c r="C95" s="16" t="s">
        <v>337</v>
      </c>
      <c r="D95" s="15" t="s">
        <v>60</v>
      </c>
      <c r="E95" s="15" t="s">
        <v>69</v>
      </c>
      <c r="F95" s="15" t="s">
        <v>114</v>
      </c>
      <c r="G95" s="15" t="s">
        <v>63</v>
      </c>
      <c r="H95" s="16" t="s">
        <v>350</v>
      </c>
      <c r="I95" s="16" t="s">
        <v>65</v>
      </c>
    </row>
    <row r="96" customFormat="false" ht="15" hidden="false" customHeight="true" outlineLevel="0" collapsed="false">
      <c r="A96" s="15" t="s">
        <v>351</v>
      </c>
      <c r="B96" s="16" t="s">
        <v>352</v>
      </c>
      <c r="C96" s="16" t="s">
        <v>337</v>
      </c>
      <c r="D96" s="15" t="s">
        <v>60</v>
      </c>
      <c r="E96" s="15" t="s">
        <v>69</v>
      </c>
      <c r="F96" s="15" t="s">
        <v>114</v>
      </c>
      <c r="G96" s="15" t="s">
        <v>63</v>
      </c>
      <c r="H96" s="16" t="s">
        <v>353</v>
      </c>
      <c r="I96" s="16" t="s">
        <v>65</v>
      </c>
    </row>
    <row r="97" customFormat="false" ht="15" hidden="false" customHeight="true" outlineLevel="0" collapsed="false">
      <c r="A97" s="19" t="s">
        <v>354</v>
      </c>
      <c r="B97" s="20" t="s">
        <v>355</v>
      </c>
      <c r="C97" s="20" t="s">
        <v>337</v>
      </c>
      <c r="D97" s="19" t="s">
        <v>60</v>
      </c>
      <c r="E97" s="19" t="s">
        <v>69</v>
      </c>
      <c r="F97" s="19" t="s">
        <v>114</v>
      </c>
      <c r="G97" s="19" t="s">
        <v>224</v>
      </c>
      <c r="H97" s="20" t="s">
        <v>356</v>
      </c>
      <c r="I97" s="20" t="s">
        <v>197</v>
      </c>
    </row>
    <row r="98" customFormat="false" ht="15" hidden="false" customHeight="true" outlineLevel="0" collapsed="false">
      <c r="A98" s="19" t="s">
        <v>357</v>
      </c>
      <c r="B98" s="20" t="s">
        <v>358</v>
      </c>
      <c r="C98" s="20" t="s">
        <v>337</v>
      </c>
      <c r="D98" s="19" t="s">
        <v>60</v>
      </c>
      <c r="E98" s="19" t="s">
        <v>69</v>
      </c>
      <c r="F98" s="19" t="s">
        <v>114</v>
      </c>
      <c r="G98" s="19" t="s">
        <v>224</v>
      </c>
      <c r="H98" s="20" t="s">
        <v>359</v>
      </c>
      <c r="I98" s="20" t="s">
        <v>197</v>
      </c>
    </row>
    <row r="99" customFormat="false" ht="15" hidden="false" customHeight="true" outlineLevel="0" collapsed="false">
      <c r="A99" s="15" t="s">
        <v>360</v>
      </c>
      <c r="B99" s="16" t="s">
        <v>361</v>
      </c>
      <c r="C99" s="16" t="s">
        <v>337</v>
      </c>
      <c r="D99" s="15" t="s">
        <v>60</v>
      </c>
      <c r="E99" s="15" t="s">
        <v>87</v>
      </c>
      <c r="F99" s="15" t="s">
        <v>114</v>
      </c>
      <c r="G99" s="15" t="s">
        <v>63</v>
      </c>
      <c r="H99" s="16" t="s">
        <v>362</v>
      </c>
      <c r="I99" s="16" t="s">
        <v>65</v>
      </c>
    </row>
    <row r="100" customFormat="false" ht="15" hidden="false" customHeight="true" outlineLevel="0" collapsed="false">
      <c r="A100" s="15" t="s">
        <v>363</v>
      </c>
      <c r="B100" s="16" t="s">
        <v>364</v>
      </c>
      <c r="C100" s="16" t="s">
        <v>337</v>
      </c>
      <c r="D100" s="15" t="s">
        <v>60</v>
      </c>
      <c r="E100" s="15" t="s">
        <v>69</v>
      </c>
      <c r="F100" s="15" t="s">
        <v>114</v>
      </c>
      <c r="G100" s="15" t="s">
        <v>63</v>
      </c>
      <c r="H100" s="16" t="s">
        <v>365</v>
      </c>
      <c r="I100" s="16" t="s">
        <v>65</v>
      </c>
    </row>
    <row r="101" customFormat="false" ht="15" hidden="false" customHeight="true" outlineLevel="0" collapsed="false">
      <c r="A101" s="14" t="s">
        <v>366</v>
      </c>
      <c r="B101" s="14"/>
      <c r="C101" s="14"/>
      <c r="D101" s="14"/>
      <c r="E101" s="14"/>
      <c r="F101" s="14"/>
      <c r="G101" s="14"/>
      <c r="H101" s="14"/>
      <c r="I101" s="14"/>
    </row>
    <row r="102" customFormat="false" ht="15" hidden="false" customHeight="true" outlineLevel="0" collapsed="false">
      <c r="A102" s="15" t="s">
        <v>367</v>
      </c>
      <c r="B102" s="16" t="s">
        <v>368</v>
      </c>
      <c r="C102" s="16" t="s">
        <v>369</v>
      </c>
      <c r="D102" s="15" t="s">
        <v>370</v>
      </c>
      <c r="E102" s="15" t="s">
        <v>87</v>
      </c>
      <c r="F102" s="15" t="s">
        <v>114</v>
      </c>
      <c r="G102" s="15" t="s">
        <v>63</v>
      </c>
      <c r="H102" s="16" t="s">
        <v>371</v>
      </c>
      <c r="I102" s="16" t="s">
        <v>65</v>
      </c>
    </row>
    <row r="103" customFormat="false" ht="15" hidden="false" customHeight="true" outlineLevel="0" collapsed="false">
      <c r="A103" s="15" t="s">
        <v>372</v>
      </c>
      <c r="B103" s="16" t="s">
        <v>373</v>
      </c>
      <c r="C103" s="16" t="s">
        <v>369</v>
      </c>
      <c r="D103" s="15" t="s">
        <v>370</v>
      </c>
      <c r="E103" s="15" t="s">
        <v>69</v>
      </c>
      <c r="F103" s="15" t="s">
        <v>114</v>
      </c>
      <c r="G103" s="15" t="s">
        <v>63</v>
      </c>
      <c r="H103" s="16" t="s">
        <v>374</v>
      </c>
      <c r="I103" s="16" t="s">
        <v>65</v>
      </c>
    </row>
    <row r="104" customFormat="false" ht="15" hidden="false" customHeight="true" outlineLevel="0" collapsed="false">
      <c r="A104" s="15" t="s">
        <v>375</v>
      </c>
      <c r="B104" s="16" t="s">
        <v>376</v>
      </c>
      <c r="C104" s="16" t="s">
        <v>369</v>
      </c>
      <c r="D104" s="15" t="s">
        <v>370</v>
      </c>
      <c r="E104" s="15" t="s">
        <v>69</v>
      </c>
      <c r="F104" s="15" t="s">
        <v>114</v>
      </c>
      <c r="G104" s="15" t="s">
        <v>63</v>
      </c>
      <c r="H104" s="16" t="s">
        <v>377</v>
      </c>
      <c r="I104" s="16" t="s">
        <v>65</v>
      </c>
    </row>
    <row r="105" customFormat="false" ht="15" hidden="false" customHeight="true" outlineLevel="0" collapsed="false">
      <c r="A105" s="15" t="s">
        <v>378</v>
      </c>
      <c r="B105" s="16" t="s">
        <v>379</v>
      </c>
      <c r="C105" s="16" t="s">
        <v>369</v>
      </c>
      <c r="D105" s="15" t="s">
        <v>370</v>
      </c>
      <c r="E105" s="15" t="s">
        <v>69</v>
      </c>
      <c r="F105" s="15" t="s">
        <v>114</v>
      </c>
      <c r="G105" s="15" t="s">
        <v>63</v>
      </c>
      <c r="H105" s="16" t="s">
        <v>380</v>
      </c>
      <c r="I105" s="16" t="s">
        <v>65</v>
      </c>
    </row>
    <row r="106" customFormat="false" ht="15" hidden="false" customHeight="true" outlineLevel="0" collapsed="false">
      <c r="A106" s="15" t="s">
        <v>381</v>
      </c>
      <c r="B106" s="16" t="s">
        <v>382</v>
      </c>
      <c r="C106" s="16" t="s">
        <v>369</v>
      </c>
      <c r="D106" s="15" t="s">
        <v>370</v>
      </c>
      <c r="E106" s="15" t="s">
        <v>69</v>
      </c>
      <c r="F106" s="15" t="s">
        <v>114</v>
      </c>
      <c r="G106" s="15" t="s">
        <v>63</v>
      </c>
      <c r="H106" s="16" t="s">
        <v>383</v>
      </c>
      <c r="I106" s="16" t="s">
        <v>65</v>
      </c>
    </row>
    <row r="107" customFormat="false" ht="15" hidden="false" customHeight="true" outlineLevel="0" collapsed="false">
      <c r="A107" s="15" t="s">
        <v>384</v>
      </c>
      <c r="B107" s="16" t="s">
        <v>385</v>
      </c>
      <c r="C107" s="16" t="s">
        <v>369</v>
      </c>
      <c r="D107" s="15" t="s">
        <v>370</v>
      </c>
      <c r="E107" s="15" t="s">
        <v>69</v>
      </c>
      <c r="F107" s="15" t="s">
        <v>114</v>
      </c>
      <c r="G107" s="15" t="s">
        <v>63</v>
      </c>
      <c r="H107" s="16" t="s">
        <v>386</v>
      </c>
      <c r="I107" s="16" t="s">
        <v>65</v>
      </c>
    </row>
    <row r="108" customFormat="false" ht="15" hidden="false" customHeight="true" outlineLevel="0" collapsed="false">
      <c r="A108" s="15" t="s">
        <v>387</v>
      </c>
      <c r="B108" s="16" t="s">
        <v>388</v>
      </c>
      <c r="C108" s="16" t="s">
        <v>369</v>
      </c>
      <c r="D108" s="15" t="s">
        <v>370</v>
      </c>
      <c r="E108" s="15" t="s">
        <v>69</v>
      </c>
      <c r="F108" s="15" t="s">
        <v>114</v>
      </c>
      <c r="G108" s="15" t="s">
        <v>63</v>
      </c>
      <c r="H108" s="16" t="s">
        <v>389</v>
      </c>
      <c r="I108" s="16" t="s">
        <v>65</v>
      </c>
    </row>
    <row r="109" customFormat="false" ht="23.25" hidden="false" customHeight="true" outlineLevel="0" collapsed="false">
      <c r="A109" s="19" t="s">
        <v>390</v>
      </c>
      <c r="B109" s="20" t="s">
        <v>391</v>
      </c>
      <c r="C109" s="20" t="s">
        <v>369</v>
      </c>
      <c r="D109" s="19" t="s">
        <v>370</v>
      </c>
      <c r="E109" s="19" t="s">
        <v>69</v>
      </c>
      <c r="F109" s="19" t="s">
        <v>114</v>
      </c>
      <c r="G109" s="19" t="s">
        <v>224</v>
      </c>
      <c r="H109" s="20" t="s">
        <v>392</v>
      </c>
      <c r="I109" s="20" t="s">
        <v>92</v>
      </c>
    </row>
    <row r="110" customFormat="false" ht="15" hidden="false" customHeight="true" outlineLevel="0" collapsed="false">
      <c r="A110" s="14" t="s">
        <v>393</v>
      </c>
      <c r="B110" s="14"/>
      <c r="C110" s="14"/>
      <c r="D110" s="14"/>
      <c r="E110" s="14"/>
      <c r="F110" s="14"/>
      <c r="G110" s="14"/>
      <c r="H110" s="14"/>
      <c r="I110" s="14"/>
    </row>
    <row r="111" customFormat="false" ht="15" hidden="false" customHeight="true" outlineLevel="0" collapsed="false">
      <c r="A111" s="15" t="s">
        <v>394</v>
      </c>
      <c r="B111" s="16" t="s">
        <v>395</v>
      </c>
      <c r="C111" s="16" t="s">
        <v>396</v>
      </c>
      <c r="D111" s="15" t="s">
        <v>397</v>
      </c>
      <c r="E111" s="15" t="s">
        <v>87</v>
      </c>
      <c r="F111" s="15" t="s">
        <v>114</v>
      </c>
      <c r="G111" s="15" t="s">
        <v>63</v>
      </c>
      <c r="H111" s="16" t="s">
        <v>398</v>
      </c>
      <c r="I111" s="16" t="s">
        <v>65</v>
      </c>
    </row>
    <row r="112" customFormat="false" ht="15" hidden="false" customHeight="true" outlineLevel="0" collapsed="false">
      <c r="A112" s="15" t="s">
        <v>399</v>
      </c>
      <c r="B112" s="16" t="s">
        <v>400</v>
      </c>
      <c r="C112" s="16" t="s">
        <v>396</v>
      </c>
      <c r="D112" s="15" t="s">
        <v>397</v>
      </c>
      <c r="E112" s="15" t="s">
        <v>69</v>
      </c>
      <c r="F112" s="15" t="s">
        <v>114</v>
      </c>
      <c r="G112" s="15" t="s">
        <v>63</v>
      </c>
      <c r="H112" s="16" t="s">
        <v>401</v>
      </c>
      <c r="I112" s="16" t="s">
        <v>65</v>
      </c>
    </row>
    <row r="113" customFormat="false" ht="15" hidden="false" customHeight="true" outlineLevel="0" collapsed="false">
      <c r="A113" s="15" t="s">
        <v>402</v>
      </c>
      <c r="B113" s="16" t="s">
        <v>403</v>
      </c>
      <c r="C113" s="16" t="s">
        <v>396</v>
      </c>
      <c r="D113" s="15" t="s">
        <v>397</v>
      </c>
      <c r="E113" s="15" t="s">
        <v>69</v>
      </c>
      <c r="F113" s="15" t="s">
        <v>114</v>
      </c>
      <c r="G113" s="15" t="s">
        <v>63</v>
      </c>
      <c r="H113" s="16" t="s">
        <v>404</v>
      </c>
      <c r="I113" s="16" t="s">
        <v>65</v>
      </c>
    </row>
    <row r="114" customFormat="false" ht="15" hidden="false" customHeight="true" outlineLevel="0" collapsed="false">
      <c r="A114" s="15" t="s">
        <v>405</v>
      </c>
      <c r="B114" s="16" t="s">
        <v>406</v>
      </c>
      <c r="C114" s="16" t="s">
        <v>396</v>
      </c>
      <c r="D114" s="15" t="s">
        <v>397</v>
      </c>
      <c r="E114" s="15" t="s">
        <v>69</v>
      </c>
      <c r="F114" s="15" t="s">
        <v>114</v>
      </c>
      <c r="G114" s="15" t="s">
        <v>63</v>
      </c>
      <c r="H114" s="16" t="s">
        <v>407</v>
      </c>
      <c r="I114" s="16" t="s">
        <v>65</v>
      </c>
    </row>
    <row r="115" customFormat="false" ht="15" hidden="false" customHeight="true" outlineLevel="0" collapsed="false">
      <c r="A115" s="15" t="s">
        <v>408</v>
      </c>
      <c r="B115" s="16" t="s">
        <v>409</v>
      </c>
      <c r="C115" s="16" t="s">
        <v>396</v>
      </c>
      <c r="D115" s="15" t="s">
        <v>397</v>
      </c>
      <c r="E115" s="15" t="s">
        <v>69</v>
      </c>
      <c r="F115" s="15" t="s">
        <v>114</v>
      </c>
      <c r="G115" s="15" t="s">
        <v>63</v>
      </c>
      <c r="H115" s="16" t="s">
        <v>410</v>
      </c>
      <c r="I115" s="16" t="s">
        <v>65</v>
      </c>
    </row>
    <row r="116" customFormat="false" ht="15" hidden="false" customHeight="true" outlineLevel="0" collapsed="false">
      <c r="A116" s="15" t="s">
        <v>411</v>
      </c>
      <c r="B116" s="16" t="s">
        <v>412</v>
      </c>
      <c r="C116" s="16" t="s">
        <v>396</v>
      </c>
      <c r="D116" s="15" t="s">
        <v>397</v>
      </c>
      <c r="E116" s="15" t="s">
        <v>69</v>
      </c>
      <c r="F116" s="15" t="s">
        <v>114</v>
      </c>
      <c r="G116" s="15" t="s">
        <v>63</v>
      </c>
      <c r="H116" s="16" t="s">
        <v>413</v>
      </c>
      <c r="I116" s="16" t="s">
        <v>65</v>
      </c>
    </row>
    <row r="117" customFormat="false" ht="15" hidden="false" customHeight="true" outlineLevel="0" collapsed="false">
      <c r="A117" s="15" t="s">
        <v>414</v>
      </c>
      <c r="B117" s="16" t="s">
        <v>415</v>
      </c>
      <c r="C117" s="16" t="s">
        <v>396</v>
      </c>
      <c r="D117" s="15" t="s">
        <v>397</v>
      </c>
      <c r="E117" s="15" t="s">
        <v>69</v>
      </c>
      <c r="F117" s="15" t="s">
        <v>114</v>
      </c>
      <c r="G117" s="15" t="s">
        <v>63</v>
      </c>
      <c r="H117" s="16" t="s">
        <v>416</v>
      </c>
      <c r="I117" s="16" t="s">
        <v>65</v>
      </c>
    </row>
    <row r="118" customFormat="false" ht="23.25" hidden="false" customHeight="true" outlineLevel="0" collapsed="false">
      <c r="A118" s="19" t="s">
        <v>417</v>
      </c>
      <c r="B118" s="20" t="s">
        <v>418</v>
      </c>
      <c r="C118" s="20" t="s">
        <v>396</v>
      </c>
      <c r="D118" s="19" t="s">
        <v>397</v>
      </c>
      <c r="E118" s="19" t="s">
        <v>69</v>
      </c>
      <c r="F118" s="19" t="s">
        <v>114</v>
      </c>
      <c r="G118" s="19" t="s">
        <v>224</v>
      </c>
      <c r="H118" s="20" t="s">
        <v>419</v>
      </c>
      <c r="I118" s="20" t="s">
        <v>92</v>
      </c>
    </row>
    <row r="119" customFormat="false" ht="15" hidden="false" customHeight="true" outlineLevel="0" collapsed="false">
      <c r="A119" s="14" t="s">
        <v>420</v>
      </c>
      <c r="B119" s="14"/>
      <c r="C119" s="14"/>
      <c r="D119" s="14"/>
      <c r="E119" s="14"/>
      <c r="F119" s="14"/>
      <c r="G119" s="14"/>
      <c r="H119" s="14"/>
      <c r="I119" s="14"/>
    </row>
    <row r="120" customFormat="false" ht="15" hidden="false" customHeight="true" outlineLevel="0" collapsed="false">
      <c r="A120" s="15" t="s">
        <v>421</v>
      </c>
      <c r="B120" s="16" t="s">
        <v>422</v>
      </c>
      <c r="C120" s="16" t="s">
        <v>423</v>
      </c>
      <c r="D120" s="15" t="s">
        <v>424</v>
      </c>
      <c r="E120" s="15" t="s">
        <v>87</v>
      </c>
      <c r="F120" s="15" t="s">
        <v>114</v>
      </c>
      <c r="G120" s="15" t="s">
        <v>63</v>
      </c>
      <c r="H120" s="16" t="s">
        <v>425</v>
      </c>
      <c r="I120" s="16" t="s">
        <v>65</v>
      </c>
    </row>
    <row r="121" customFormat="false" ht="15" hidden="false" customHeight="true" outlineLevel="0" collapsed="false">
      <c r="A121" s="15" t="s">
        <v>426</v>
      </c>
      <c r="B121" s="16" t="s">
        <v>427</v>
      </c>
      <c r="C121" s="16" t="s">
        <v>423</v>
      </c>
      <c r="D121" s="15" t="s">
        <v>424</v>
      </c>
      <c r="E121" s="15" t="s">
        <v>69</v>
      </c>
      <c r="F121" s="15" t="s">
        <v>114</v>
      </c>
      <c r="G121" s="15" t="s">
        <v>63</v>
      </c>
      <c r="H121" s="16" t="s">
        <v>428</v>
      </c>
      <c r="I121" s="16" t="s">
        <v>65</v>
      </c>
    </row>
    <row r="122" customFormat="false" ht="15" hidden="false" customHeight="true" outlineLevel="0" collapsed="false">
      <c r="A122" s="15" t="s">
        <v>429</v>
      </c>
      <c r="B122" s="16" t="s">
        <v>430</v>
      </c>
      <c r="C122" s="16" t="s">
        <v>423</v>
      </c>
      <c r="D122" s="15" t="s">
        <v>424</v>
      </c>
      <c r="E122" s="15" t="s">
        <v>69</v>
      </c>
      <c r="F122" s="15" t="s">
        <v>114</v>
      </c>
      <c r="G122" s="15" t="s">
        <v>63</v>
      </c>
      <c r="H122" s="16" t="s">
        <v>431</v>
      </c>
      <c r="I122" s="16" t="s">
        <v>65</v>
      </c>
    </row>
    <row r="123" customFormat="false" ht="15" hidden="false" customHeight="true" outlineLevel="0" collapsed="false">
      <c r="A123" s="15" t="s">
        <v>432</v>
      </c>
      <c r="B123" s="16" t="s">
        <v>433</v>
      </c>
      <c r="C123" s="16" t="s">
        <v>423</v>
      </c>
      <c r="D123" s="15" t="s">
        <v>424</v>
      </c>
      <c r="E123" s="15" t="s">
        <v>69</v>
      </c>
      <c r="F123" s="15" t="s">
        <v>114</v>
      </c>
      <c r="G123" s="15" t="s">
        <v>63</v>
      </c>
      <c r="H123" s="16" t="s">
        <v>434</v>
      </c>
      <c r="I123" s="16" t="s">
        <v>65</v>
      </c>
    </row>
    <row r="124" customFormat="false" ht="15" hidden="false" customHeight="true" outlineLevel="0" collapsed="false">
      <c r="A124" s="15" t="s">
        <v>435</v>
      </c>
      <c r="B124" s="16" t="s">
        <v>436</v>
      </c>
      <c r="C124" s="16" t="s">
        <v>423</v>
      </c>
      <c r="D124" s="15" t="s">
        <v>424</v>
      </c>
      <c r="E124" s="15" t="s">
        <v>69</v>
      </c>
      <c r="F124" s="15" t="s">
        <v>114</v>
      </c>
      <c r="G124" s="15" t="s">
        <v>63</v>
      </c>
      <c r="H124" s="16" t="s">
        <v>437</v>
      </c>
      <c r="I124" s="16" t="s">
        <v>65</v>
      </c>
    </row>
    <row r="125" customFormat="false" ht="15" hidden="false" customHeight="true" outlineLevel="0" collapsed="false">
      <c r="A125" s="15" t="s">
        <v>438</v>
      </c>
      <c r="B125" s="16" t="s">
        <v>439</v>
      </c>
      <c r="C125" s="16" t="s">
        <v>423</v>
      </c>
      <c r="D125" s="15" t="s">
        <v>424</v>
      </c>
      <c r="E125" s="15" t="s">
        <v>69</v>
      </c>
      <c r="F125" s="15" t="s">
        <v>114</v>
      </c>
      <c r="G125" s="15" t="s">
        <v>63</v>
      </c>
      <c r="H125" s="16" t="s">
        <v>440</v>
      </c>
      <c r="I125" s="16" t="s">
        <v>65</v>
      </c>
    </row>
    <row r="126" customFormat="false" ht="15" hidden="false" customHeight="true" outlineLevel="0" collapsed="false">
      <c r="A126" s="15" t="s">
        <v>441</v>
      </c>
      <c r="B126" s="16" t="s">
        <v>442</v>
      </c>
      <c r="C126" s="16" t="s">
        <v>423</v>
      </c>
      <c r="D126" s="15" t="s">
        <v>424</v>
      </c>
      <c r="E126" s="15" t="s">
        <v>69</v>
      </c>
      <c r="F126" s="15" t="s">
        <v>114</v>
      </c>
      <c r="G126" s="15" t="s">
        <v>63</v>
      </c>
      <c r="H126" s="16" t="s">
        <v>443</v>
      </c>
      <c r="I126" s="16" t="s">
        <v>65</v>
      </c>
    </row>
    <row r="127" customFormat="false" ht="15" hidden="false" customHeight="true" outlineLevel="0" collapsed="false">
      <c r="A127" s="19" t="s">
        <v>444</v>
      </c>
      <c r="B127" s="20" t="s">
        <v>445</v>
      </c>
      <c r="C127" s="20" t="s">
        <v>423</v>
      </c>
      <c r="D127" s="19" t="s">
        <v>424</v>
      </c>
      <c r="E127" s="19" t="s">
        <v>69</v>
      </c>
      <c r="F127" s="19" t="s">
        <v>114</v>
      </c>
      <c r="G127" s="19" t="s">
        <v>224</v>
      </c>
      <c r="H127" s="20" t="s">
        <v>446</v>
      </c>
      <c r="I127" s="20" t="s">
        <v>92</v>
      </c>
    </row>
    <row r="128" customFormat="false" ht="15" hidden="false" customHeight="true" outlineLevel="0" collapsed="false">
      <c r="A128" s="14" t="s">
        <v>447</v>
      </c>
      <c r="B128" s="14"/>
      <c r="C128" s="14"/>
      <c r="D128" s="14"/>
      <c r="E128" s="14"/>
      <c r="F128" s="14"/>
      <c r="G128" s="14"/>
      <c r="H128" s="14"/>
      <c r="I128" s="14"/>
    </row>
    <row r="129" customFormat="false" ht="15" hidden="false" customHeight="true" outlineLevel="0" collapsed="false">
      <c r="A129" s="15" t="s">
        <v>448</v>
      </c>
      <c r="B129" s="16" t="s">
        <v>449</v>
      </c>
      <c r="C129" s="16" t="s">
        <v>80</v>
      </c>
      <c r="D129" s="15" t="s">
        <v>113</v>
      </c>
      <c r="E129" s="15" t="s">
        <v>69</v>
      </c>
      <c r="F129" s="15" t="s">
        <v>114</v>
      </c>
      <c r="G129" s="15" t="s">
        <v>63</v>
      </c>
      <c r="H129" s="16" t="s">
        <v>450</v>
      </c>
      <c r="I129" s="16" t="s">
        <v>65</v>
      </c>
    </row>
    <row r="130" customFormat="false" ht="23.25" hidden="false" customHeight="true" outlineLevel="0" collapsed="false">
      <c r="A130" s="15" t="s">
        <v>451</v>
      </c>
      <c r="B130" s="16" t="s">
        <v>452</v>
      </c>
      <c r="C130" s="16" t="s">
        <v>80</v>
      </c>
      <c r="D130" s="15" t="s">
        <v>147</v>
      </c>
      <c r="E130" s="15" t="s">
        <v>87</v>
      </c>
      <c r="F130" s="15" t="s">
        <v>114</v>
      </c>
      <c r="G130" s="15" t="s">
        <v>63</v>
      </c>
      <c r="H130" s="16" t="s">
        <v>453</v>
      </c>
      <c r="I130" s="16" t="s">
        <v>65</v>
      </c>
    </row>
    <row r="131" customFormat="false" ht="23.25" hidden="false" customHeight="true" outlineLevel="0" collapsed="false">
      <c r="A131" s="15" t="s">
        <v>454</v>
      </c>
      <c r="B131" s="16" t="s">
        <v>455</v>
      </c>
      <c r="C131" s="16" t="s">
        <v>80</v>
      </c>
      <c r="D131" s="15" t="s">
        <v>174</v>
      </c>
      <c r="E131" s="15" t="s">
        <v>69</v>
      </c>
      <c r="F131" s="15" t="s">
        <v>114</v>
      </c>
      <c r="G131" s="15" t="s">
        <v>63</v>
      </c>
      <c r="H131" s="16" t="s">
        <v>456</v>
      </c>
      <c r="I131" s="16" t="s">
        <v>65</v>
      </c>
    </row>
    <row r="132" customFormat="false" ht="23.25" hidden="false" customHeight="true" outlineLevel="0" collapsed="false">
      <c r="A132" s="17" t="s">
        <v>457</v>
      </c>
      <c r="B132" s="18" t="s">
        <v>458</v>
      </c>
      <c r="C132" s="18" t="s">
        <v>80</v>
      </c>
      <c r="D132" s="17" t="s">
        <v>284</v>
      </c>
      <c r="E132" s="17" t="s">
        <v>87</v>
      </c>
      <c r="F132" s="17" t="s">
        <v>114</v>
      </c>
      <c r="G132" s="17" t="s">
        <v>76</v>
      </c>
      <c r="H132" s="18" t="s">
        <v>459</v>
      </c>
      <c r="I132" s="18" t="s">
        <v>92</v>
      </c>
    </row>
    <row r="133" customFormat="false" ht="15" hidden="false" customHeight="true" outlineLevel="0" collapsed="false">
      <c r="A133" s="17" t="s">
        <v>460</v>
      </c>
      <c r="B133" s="18" t="s">
        <v>461</v>
      </c>
      <c r="C133" s="18" t="s">
        <v>80</v>
      </c>
      <c r="D133" s="17" t="s">
        <v>60</v>
      </c>
      <c r="E133" s="17" t="s">
        <v>69</v>
      </c>
      <c r="F133" s="17" t="s">
        <v>114</v>
      </c>
      <c r="G133" s="17" t="s">
        <v>76</v>
      </c>
      <c r="H133" s="18" t="s">
        <v>462</v>
      </c>
      <c r="I133" s="18" t="s">
        <v>197</v>
      </c>
    </row>
    <row r="134" customFormat="false" ht="15" hidden="false" customHeight="true" outlineLevel="0" collapsed="false">
      <c r="A134" s="19" t="s">
        <v>463</v>
      </c>
      <c r="B134" s="20" t="s">
        <v>464</v>
      </c>
      <c r="C134" s="20" t="s">
        <v>80</v>
      </c>
      <c r="D134" s="19" t="s">
        <v>465</v>
      </c>
      <c r="E134" s="19" t="s">
        <v>69</v>
      </c>
      <c r="F134" s="19" t="s">
        <v>114</v>
      </c>
      <c r="G134" s="19" t="s">
        <v>224</v>
      </c>
      <c r="H134" s="20" t="s">
        <v>466</v>
      </c>
      <c r="I134" s="20" t="s">
        <v>197</v>
      </c>
    </row>
    <row r="135" customFormat="false" ht="15" hidden="false" customHeight="true" outlineLevel="0" collapsed="false">
      <c r="A135" s="14" t="s">
        <v>467</v>
      </c>
      <c r="B135" s="14"/>
      <c r="C135" s="14"/>
      <c r="D135" s="14"/>
      <c r="E135" s="14"/>
      <c r="F135" s="14"/>
      <c r="G135" s="14"/>
      <c r="H135" s="14"/>
      <c r="I135" s="14"/>
    </row>
    <row r="136" customFormat="false" ht="15" hidden="false" customHeight="true" outlineLevel="0" collapsed="false">
      <c r="A136" s="15" t="s">
        <v>468</v>
      </c>
      <c r="B136" s="16" t="s">
        <v>469</v>
      </c>
      <c r="C136" s="16" t="s">
        <v>465</v>
      </c>
      <c r="D136" s="15" t="s">
        <v>470</v>
      </c>
      <c r="E136" s="15" t="s">
        <v>69</v>
      </c>
      <c r="F136" s="15" t="s">
        <v>62</v>
      </c>
      <c r="G136" s="15" t="s">
        <v>63</v>
      </c>
      <c r="H136" s="16" t="s">
        <v>471</v>
      </c>
      <c r="I136" s="16" t="s">
        <v>65</v>
      </c>
    </row>
    <row r="137" customFormat="false" ht="15" hidden="false" customHeight="true" outlineLevel="0" collapsed="false">
      <c r="A137" s="15" t="s">
        <v>472</v>
      </c>
      <c r="B137" s="16" t="s">
        <v>473</v>
      </c>
      <c r="C137" s="16" t="s">
        <v>465</v>
      </c>
      <c r="D137" s="15" t="s">
        <v>113</v>
      </c>
      <c r="E137" s="15" t="s">
        <v>61</v>
      </c>
      <c r="F137" s="15" t="s">
        <v>474</v>
      </c>
      <c r="G137" s="15" t="s">
        <v>63</v>
      </c>
      <c r="H137" s="16" t="s">
        <v>475</v>
      </c>
      <c r="I137" s="16" t="s">
        <v>92</v>
      </c>
    </row>
    <row r="138" customFormat="false" ht="15" hidden="false" customHeight="true" outlineLevel="0" collapsed="false">
      <c r="A138" s="15" t="s">
        <v>476</v>
      </c>
      <c r="B138" s="16" t="s">
        <v>477</v>
      </c>
      <c r="C138" s="16" t="s">
        <v>465</v>
      </c>
      <c r="D138" s="15" t="s">
        <v>147</v>
      </c>
      <c r="E138" s="15" t="s">
        <v>61</v>
      </c>
      <c r="F138" s="15" t="s">
        <v>474</v>
      </c>
      <c r="G138" s="15" t="s">
        <v>63</v>
      </c>
      <c r="H138" s="16" t="s">
        <v>475</v>
      </c>
      <c r="I138" s="16" t="s">
        <v>92</v>
      </c>
    </row>
    <row r="139" customFormat="false" ht="15" hidden="false" customHeight="true" outlineLevel="0" collapsed="false">
      <c r="A139" s="17" t="s">
        <v>478</v>
      </c>
      <c r="B139" s="18" t="s">
        <v>479</v>
      </c>
      <c r="C139" s="18" t="s">
        <v>465</v>
      </c>
      <c r="D139" s="17" t="s">
        <v>174</v>
      </c>
      <c r="E139" s="17" t="s">
        <v>61</v>
      </c>
      <c r="F139" s="17" t="s">
        <v>474</v>
      </c>
      <c r="G139" s="17" t="s">
        <v>76</v>
      </c>
      <c r="H139" s="18" t="s">
        <v>480</v>
      </c>
      <c r="I139" s="18" t="s">
        <v>197</v>
      </c>
    </row>
    <row r="140" customFormat="false" ht="15" hidden="false" customHeight="true" outlineLevel="0" collapsed="false">
      <c r="A140" s="17" t="s">
        <v>481</v>
      </c>
      <c r="B140" s="18" t="s">
        <v>482</v>
      </c>
      <c r="C140" s="18" t="s">
        <v>465</v>
      </c>
      <c r="D140" s="17" t="s">
        <v>80</v>
      </c>
      <c r="E140" s="17" t="s">
        <v>69</v>
      </c>
      <c r="F140" s="17" t="s">
        <v>62</v>
      </c>
      <c r="G140" s="17" t="s">
        <v>76</v>
      </c>
      <c r="H140" s="18" t="s">
        <v>483</v>
      </c>
      <c r="I140" s="18" t="s">
        <v>197</v>
      </c>
    </row>
    <row r="141" customFormat="false" ht="15" hidden="false" customHeight="true" outlineLevel="0" collapsed="false">
      <c r="A141" s="19" t="s">
        <v>484</v>
      </c>
      <c r="B141" s="20" t="s">
        <v>485</v>
      </c>
      <c r="C141" s="20" t="s">
        <v>465</v>
      </c>
      <c r="D141" s="19" t="s">
        <v>470</v>
      </c>
      <c r="E141" s="19" t="s">
        <v>69</v>
      </c>
      <c r="F141" s="19" t="s">
        <v>474</v>
      </c>
      <c r="G141" s="19" t="s">
        <v>224</v>
      </c>
      <c r="H141" s="20" t="s">
        <v>486</v>
      </c>
      <c r="I141" s="20" t="s">
        <v>197</v>
      </c>
    </row>
    <row r="142" customFormat="false" ht="15" hidden="false" customHeight="true" outlineLevel="0" collapsed="false">
      <c r="A142" s="19" t="s">
        <v>487</v>
      </c>
      <c r="B142" s="20" t="s">
        <v>488</v>
      </c>
      <c r="C142" s="20" t="s">
        <v>465</v>
      </c>
      <c r="D142" s="19" t="s">
        <v>470</v>
      </c>
      <c r="E142" s="19" t="s">
        <v>69</v>
      </c>
      <c r="F142" s="19" t="s">
        <v>474</v>
      </c>
      <c r="G142" s="19" t="s">
        <v>224</v>
      </c>
      <c r="H142" s="20" t="s">
        <v>489</v>
      </c>
      <c r="I142" s="20" t="s">
        <v>197</v>
      </c>
    </row>
    <row r="143" customFormat="false" ht="15" hidden="false" customHeight="true" outlineLevel="0" collapsed="false">
      <c r="A143" s="19" t="s">
        <v>490</v>
      </c>
      <c r="B143" s="20" t="s">
        <v>491</v>
      </c>
      <c r="C143" s="20" t="s">
        <v>465</v>
      </c>
      <c r="D143" s="19" t="s">
        <v>470</v>
      </c>
      <c r="E143" s="19" t="s">
        <v>69</v>
      </c>
      <c r="F143" s="19" t="s">
        <v>62</v>
      </c>
      <c r="G143" s="19" t="s">
        <v>224</v>
      </c>
      <c r="H143" s="20" t="s">
        <v>492</v>
      </c>
      <c r="I143" s="20" t="s">
        <v>92</v>
      </c>
    </row>
    <row r="144" customFormat="false" ht="15" hidden="false" customHeight="true" outlineLevel="0" collapsed="false">
      <c r="A144" s="14" t="s">
        <v>493</v>
      </c>
      <c r="B144" s="14"/>
      <c r="C144" s="14"/>
      <c r="D144" s="14"/>
      <c r="E144" s="14"/>
      <c r="F144" s="14"/>
      <c r="G144" s="14"/>
      <c r="H144" s="14"/>
      <c r="I144" s="14"/>
    </row>
    <row r="145" customFormat="false" ht="15" hidden="false" customHeight="true" outlineLevel="0" collapsed="false">
      <c r="A145" s="15" t="s">
        <v>494</v>
      </c>
      <c r="B145" s="16" t="s">
        <v>495</v>
      </c>
      <c r="C145" s="16" t="s">
        <v>496</v>
      </c>
      <c r="D145" s="15" t="s">
        <v>147</v>
      </c>
      <c r="E145" s="15" t="s">
        <v>69</v>
      </c>
      <c r="F145" s="15" t="s">
        <v>114</v>
      </c>
      <c r="G145" s="15" t="s">
        <v>63</v>
      </c>
      <c r="H145" s="16" t="s">
        <v>497</v>
      </c>
      <c r="I145" s="16" t="s">
        <v>65</v>
      </c>
    </row>
    <row r="146" customFormat="false" ht="15" hidden="false" customHeight="true" outlineLevel="0" collapsed="false">
      <c r="A146" s="15" t="s">
        <v>498</v>
      </c>
      <c r="B146" s="16" t="s">
        <v>499</v>
      </c>
      <c r="C146" s="16" t="s">
        <v>496</v>
      </c>
      <c r="D146" s="15" t="s">
        <v>147</v>
      </c>
      <c r="E146" s="15" t="s">
        <v>69</v>
      </c>
      <c r="F146" s="15" t="s">
        <v>114</v>
      </c>
      <c r="G146" s="15" t="s">
        <v>63</v>
      </c>
      <c r="H146" s="16" t="s">
        <v>500</v>
      </c>
      <c r="I146" s="16" t="s">
        <v>65</v>
      </c>
    </row>
    <row r="147" customFormat="false" ht="15" hidden="false" customHeight="true" outlineLevel="0" collapsed="false">
      <c r="A147" s="17" t="s">
        <v>501</v>
      </c>
      <c r="B147" s="18" t="s">
        <v>502</v>
      </c>
      <c r="C147" s="18" t="s">
        <v>496</v>
      </c>
      <c r="D147" s="17" t="s">
        <v>147</v>
      </c>
      <c r="E147" s="17" t="s">
        <v>69</v>
      </c>
      <c r="F147" s="17" t="s">
        <v>114</v>
      </c>
      <c r="G147" s="17" t="s">
        <v>76</v>
      </c>
      <c r="H147" s="18" t="s">
        <v>503</v>
      </c>
      <c r="I147" s="18" t="s">
        <v>92</v>
      </c>
    </row>
    <row r="148" customFormat="false" ht="15" hidden="false" customHeight="true" outlineLevel="0" collapsed="false">
      <c r="A148" s="14" t="s">
        <v>504</v>
      </c>
      <c r="B148" s="14"/>
      <c r="C148" s="14"/>
      <c r="D148" s="14"/>
      <c r="E148" s="14"/>
      <c r="F148" s="14"/>
      <c r="G148" s="14"/>
      <c r="H148" s="14"/>
      <c r="I148" s="14"/>
    </row>
    <row r="149" customFormat="false" ht="15" hidden="false" customHeight="true" outlineLevel="0" collapsed="false">
      <c r="A149" s="19" t="s">
        <v>505</v>
      </c>
      <c r="B149" s="20" t="s">
        <v>506</v>
      </c>
      <c r="C149" s="20" t="s">
        <v>507</v>
      </c>
      <c r="D149" s="19" t="s">
        <v>508</v>
      </c>
      <c r="E149" s="19" t="s">
        <v>69</v>
      </c>
      <c r="F149" s="19" t="s">
        <v>114</v>
      </c>
      <c r="G149" s="19" t="s">
        <v>224</v>
      </c>
      <c r="H149" s="20" t="s">
        <v>509</v>
      </c>
      <c r="I149" s="20" t="s">
        <v>92</v>
      </c>
    </row>
    <row r="150" customFormat="false" ht="15" hidden="false" customHeight="true" outlineLevel="0" collapsed="false">
      <c r="A150" s="19" t="s">
        <v>510</v>
      </c>
      <c r="B150" s="20" t="s">
        <v>511</v>
      </c>
      <c r="C150" s="20" t="s">
        <v>507</v>
      </c>
      <c r="D150" s="19" t="s">
        <v>508</v>
      </c>
      <c r="E150" s="19" t="s">
        <v>87</v>
      </c>
      <c r="F150" s="19" t="s">
        <v>114</v>
      </c>
      <c r="G150" s="19" t="s">
        <v>224</v>
      </c>
      <c r="H150" s="20" t="s">
        <v>512</v>
      </c>
      <c r="I150" s="20" t="s">
        <v>92</v>
      </c>
    </row>
    <row r="151" customFormat="false" ht="15" hidden="false" customHeight="true" outlineLevel="0" collapsed="false">
      <c r="A151" s="19" t="s">
        <v>513</v>
      </c>
      <c r="B151" s="20" t="s">
        <v>514</v>
      </c>
      <c r="C151" s="20" t="s">
        <v>507</v>
      </c>
      <c r="D151" s="19" t="s">
        <v>508</v>
      </c>
      <c r="E151" s="19" t="s">
        <v>69</v>
      </c>
      <c r="F151" s="19" t="s">
        <v>62</v>
      </c>
      <c r="G151" s="19" t="s">
        <v>224</v>
      </c>
      <c r="H151" s="20" t="s">
        <v>515</v>
      </c>
      <c r="I151" s="20" t="s">
        <v>92</v>
      </c>
    </row>
    <row r="152" customFormat="false" ht="15" hidden="false" customHeight="true" outlineLevel="0" collapsed="false">
      <c r="A152" s="19" t="s">
        <v>516</v>
      </c>
      <c r="B152" s="20" t="s">
        <v>517</v>
      </c>
      <c r="C152" s="20" t="s">
        <v>507</v>
      </c>
      <c r="D152" s="19" t="s">
        <v>508</v>
      </c>
      <c r="E152" s="19" t="s">
        <v>69</v>
      </c>
      <c r="F152" s="19" t="s">
        <v>62</v>
      </c>
      <c r="G152" s="19" t="s">
        <v>224</v>
      </c>
      <c r="H152" s="20" t="s">
        <v>518</v>
      </c>
      <c r="I152" s="20" t="s">
        <v>92</v>
      </c>
    </row>
    <row r="153" customFormat="false" ht="15" hidden="false" customHeight="true" outlineLevel="0" collapsed="false">
      <c r="A153" s="19" t="s">
        <v>519</v>
      </c>
      <c r="B153" s="20" t="s">
        <v>520</v>
      </c>
      <c r="C153" s="20" t="s">
        <v>507</v>
      </c>
      <c r="D153" s="19" t="s">
        <v>508</v>
      </c>
      <c r="E153" s="19" t="s">
        <v>69</v>
      </c>
      <c r="F153" s="19" t="s">
        <v>114</v>
      </c>
      <c r="G153" s="19" t="s">
        <v>224</v>
      </c>
      <c r="H153" s="20" t="s">
        <v>521</v>
      </c>
      <c r="I153" s="20" t="s">
        <v>92</v>
      </c>
    </row>
    <row r="154" customFormat="false" ht="15" hidden="false" customHeight="true" outlineLevel="0" collapsed="false">
      <c r="A154" s="17" t="s">
        <v>522</v>
      </c>
      <c r="B154" s="18" t="s">
        <v>523</v>
      </c>
      <c r="C154" s="18" t="s">
        <v>507</v>
      </c>
      <c r="D154" s="17" t="s">
        <v>508</v>
      </c>
      <c r="E154" s="17" t="s">
        <v>87</v>
      </c>
      <c r="F154" s="17" t="s">
        <v>114</v>
      </c>
      <c r="G154" s="17" t="s">
        <v>76</v>
      </c>
      <c r="H154" s="18" t="s">
        <v>524</v>
      </c>
      <c r="I154" s="18" t="s">
        <v>92</v>
      </c>
    </row>
    <row r="155" customFormat="false" ht="15" hidden="false" customHeight="true" outlineLevel="0" collapsed="false">
      <c r="A155" s="17" t="s">
        <v>525</v>
      </c>
      <c r="B155" s="18" t="s">
        <v>526</v>
      </c>
      <c r="C155" s="18" t="s">
        <v>507</v>
      </c>
      <c r="D155" s="17" t="s">
        <v>508</v>
      </c>
      <c r="E155" s="17" t="s">
        <v>69</v>
      </c>
      <c r="F155" s="17" t="s">
        <v>114</v>
      </c>
      <c r="G155" s="17" t="s">
        <v>76</v>
      </c>
      <c r="H155" s="18" t="s">
        <v>527</v>
      </c>
      <c r="I155" s="18" t="s">
        <v>92</v>
      </c>
    </row>
    <row r="156" customFormat="false" ht="15" hidden="false" customHeight="true" outlineLevel="0" collapsed="false">
      <c r="A156" s="19" t="s">
        <v>528</v>
      </c>
      <c r="B156" s="20" t="s">
        <v>529</v>
      </c>
      <c r="C156" s="20" t="s">
        <v>507</v>
      </c>
      <c r="D156" s="19" t="s">
        <v>508</v>
      </c>
      <c r="E156" s="19" t="s">
        <v>69</v>
      </c>
      <c r="F156" s="19" t="s">
        <v>114</v>
      </c>
      <c r="G156" s="19" t="s">
        <v>224</v>
      </c>
      <c r="H156" s="20" t="s">
        <v>530</v>
      </c>
      <c r="I156" s="20" t="s">
        <v>92</v>
      </c>
    </row>
    <row r="157" customFormat="false" ht="15" hidden="false" customHeight="true" outlineLevel="0" collapsed="false">
      <c r="A157" s="17" t="s">
        <v>531</v>
      </c>
      <c r="B157" s="18" t="s">
        <v>532</v>
      </c>
      <c r="C157" s="18" t="s">
        <v>507</v>
      </c>
      <c r="D157" s="17" t="s">
        <v>508</v>
      </c>
      <c r="E157" s="17" t="s">
        <v>69</v>
      </c>
      <c r="F157" s="17" t="s">
        <v>114</v>
      </c>
      <c r="G157" s="17" t="s">
        <v>76</v>
      </c>
      <c r="H157" s="18" t="s">
        <v>533</v>
      </c>
      <c r="I157" s="18" t="s">
        <v>92</v>
      </c>
    </row>
    <row r="158" customFormat="false" ht="15" hidden="false" customHeight="true" outlineLevel="0" collapsed="false">
      <c r="A158" s="19" t="s">
        <v>534</v>
      </c>
      <c r="B158" s="20" t="s">
        <v>535</v>
      </c>
      <c r="C158" s="20" t="s">
        <v>507</v>
      </c>
      <c r="D158" s="19" t="s">
        <v>536</v>
      </c>
      <c r="E158" s="19" t="s">
        <v>87</v>
      </c>
      <c r="F158" s="19" t="s">
        <v>114</v>
      </c>
      <c r="G158" s="19" t="s">
        <v>224</v>
      </c>
      <c r="H158" s="20" t="s">
        <v>537</v>
      </c>
      <c r="I158" s="20" t="s">
        <v>197</v>
      </c>
    </row>
    <row r="159" customFormat="false" ht="23.25" hidden="false" customHeight="true" outlineLevel="0" collapsed="false">
      <c r="A159" s="19" t="s">
        <v>538</v>
      </c>
      <c r="B159" s="20" t="s">
        <v>539</v>
      </c>
      <c r="C159" s="20" t="s">
        <v>507</v>
      </c>
      <c r="D159" s="19" t="s">
        <v>540</v>
      </c>
      <c r="E159" s="19" t="s">
        <v>69</v>
      </c>
      <c r="F159" s="19" t="s">
        <v>114</v>
      </c>
      <c r="G159" s="19" t="s">
        <v>224</v>
      </c>
      <c r="H159" s="20" t="s">
        <v>541</v>
      </c>
      <c r="I159" s="20" t="s">
        <v>197</v>
      </c>
    </row>
    <row r="160" customFormat="false" ht="15" hidden="false" customHeight="true" outlineLevel="0" collapsed="false">
      <c r="A160" s="19" t="s">
        <v>542</v>
      </c>
      <c r="B160" s="20" t="s">
        <v>543</v>
      </c>
      <c r="C160" s="20" t="s">
        <v>507</v>
      </c>
      <c r="D160" s="19" t="s">
        <v>544</v>
      </c>
      <c r="E160" s="19" t="s">
        <v>87</v>
      </c>
      <c r="F160" s="19" t="s">
        <v>114</v>
      </c>
      <c r="G160" s="19" t="s">
        <v>224</v>
      </c>
      <c r="H160" s="20" t="s">
        <v>545</v>
      </c>
      <c r="I160" s="20" t="s">
        <v>197</v>
      </c>
    </row>
    <row r="161" customFormat="false" ht="23.25" hidden="false" customHeight="true" outlineLevel="0" collapsed="false">
      <c r="A161" s="19" t="s">
        <v>546</v>
      </c>
      <c r="B161" s="20" t="s">
        <v>547</v>
      </c>
      <c r="C161" s="20" t="s">
        <v>507</v>
      </c>
      <c r="D161" s="19" t="s">
        <v>540</v>
      </c>
      <c r="E161" s="19" t="s">
        <v>69</v>
      </c>
      <c r="F161" s="19" t="s">
        <v>114</v>
      </c>
      <c r="G161" s="19" t="s">
        <v>224</v>
      </c>
      <c r="H161" s="20" t="s">
        <v>548</v>
      </c>
      <c r="I161" s="20" t="s">
        <v>197</v>
      </c>
    </row>
    <row r="162" customFormat="false" ht="15" hidden="false" customHeight="true" outlineLevel="0" collapsed="false">
      <c r="A162" s="15" t="s">
        <v>549</v>
      </c>
      <c r="B162" s="16" t="s">
        <v>550</v>
      </c>
      <c r="C162" s="16" t="s">
        <v>507</v>
      </c>
      <c r="D162" s="15" t="s">
        <v>544</v>
      </c>
      <c r="E162" s="15" t="s">
        <v>69</v>
      </c>
      <c r="F162" s="15" t="s">
        <v>114</v>
      </c>
      <c r="G162" s="15" t="s">
        <v>63</v>
      </c>
      <c r="H162" s="16" t="s">
        <v>551</v>
      </c>
      <c r="I162" s="16" t="s">
        <v>65</v>
      </c>
    </row>
    <row r="163" customFormat="false" ht="15" hidden="false" customHeight="true" outlineLevel="0" collapsed="false">
      <c r="A163" s="19" t="s">
        <v>552</v>
      </c>
      <c r="B163" s="20" t="s">
        <v>553</v>
      </c>
      <c r="C163" s="20" t="s">
        <v>507</v>
      </c>
      <c r="D163" s="19" t="s">
        <v>508</v>
      </c>
      <c r="E163" s="19" t="s">
        <v>87</v>
      </c>
      <c r="F163" s="19" t="s">
        <v>114</v>
      </c>
      <c r="G163" s="19" t="s">
        <v>224</v>
      </c>
      <c r="H163" s="20" t="s">
        <v>554</v>
      </c>
      <c r="I163" s="20" t="s">
        <v>555</v>
      </c>
    </row>
  </sheetData>
  <autoFilter ref="A1:I163"/>
  <mergeCells count="17">
    <mergeCell ref="A2:I2"/>
    <mergeCell ref="A16:I16"/>
    <mergeCell ref="A27:I27"/>
    <mergeCell ref="A36:I36"/>
    <mergeCell ref="A45:I45"/>
    <mergeCell ref="A54:I54"/>
    <mergeCell ref="A63:I63"/>
    <mergeCell ref="A72:I72"/>
    <mergeCell ref="A81:I81"/>
    <mergeCell ref="A90:I90"/>
    <mergeCell ref="A101:I101"/>
    <mergeCell ref="A110:I110"/>
    <mergeCell ref="A119:I119"/>
    <mergeCell ref="A128:I128"/>
    <mergeCell ref="A135:I135"/>
    <mergeCell ref="A144:I144"/>
    <mergeCell ref="A148:I1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48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24"/>
    <col collapsed="false" customWidth="true" hidden="false" outlineLevel="0" max="9" min="9" style="1" width="16"/>
  </cols>
  <sheetData>
    <row r="1" customFormat="false" ht="26.25" hidden="false" customHeight="true" outlineLevel="0" collapsed="false">
      <c r="A1" s="5" t="s">
        <v>556</v>
      </c>
      <c r="B1" s="5" t="s">
        <v>47</v>
      </c>
      <c r="C1" s="5" t="s">
        <v>48</v>
      </c>
      <c r="D1" s="5" t="s">
        <v>557</v>
      </c>
      <c r="E1" s="5" t="s">
        <v>50</v>
      </c>
      <c r="F1" s="5" t="s">
        <v>51</v>
      </c>
      <c r="G1" s="5" t="s">
        <v>558</v>
      </c>
      <c r="H1" s="5" t="s">
        <v>559</v>
      </c>
      <c r="I1" s="5" t="s">
        <v>560</v>
      </c>
    </row>
    <row r="2" customFormat="false" ht="15" hidden="false" customHeight="true" outlineLevel="0" collapsed="false">
      <c r="A2" s="14" t="s">
        <v>561</v>
      </c>
      <c r="B2" s="14"/>
      <c r="C2" s="14"/>
      <c r="D2" s="14"/>
      <c r="E2" s="14"/>
      <c r="F2" s="14"/>
      <c r="G2" s="14"/>
      <c r="H2" s="14"/>
      <c r="I2" s="14"/>
    </row>
    <row r="3" customFormat="false" ht="15" hidden="false" customHeight="true" outlineLevel="0" collapsed="false">
      <c r="A3" s="6" t="n">
        <v>1</v>
      </c>
      <c r="B3" s="7" t="s">
        <v>74</v>
      </c>
      <c r="C3" s="7" t="s">
        <v>562</v>
      </c>
      <c r="D3" s="6" t="s">
        <v>563</v>
      </c>
      <c r="E3" s="6" t="s">
        <v>95</v>
      </c>
      <c r="F3" s="6" t="s">
        <v>87</v>
      </c>
      <c r="G3" s="6" t="n">
        <v>8</v>
      </c>
      <c r="H3" s="7" t="s">
        <v>564</v>
      </c>
      <c r="I3" s="7" t="s">
        <v>565</v>
      </c>
    </row>
    <row r="4" customFormat="false" ht="15" hidden="false" customHeight="true" outlineLevel="0" collapsed="false">
      <c r="A4" s="6" t="n">
        <v>2</v>
      </c>
      <c r="B4" s="7" t="s">
        <v>89</v>
      </c>
      <c r="C4" s="7" t="s">
        <v>566</v>
      </c>
      <c r="D4" s="6" t="s">
        <v>563</v>
      </c>
      <c r="E4" s="6" t="s">
        <v>68</v>
      </c>
      <c r="F4" s="6" t="s">
        <v>69</v>
      </c>
      <c r="G4" s="6" t="n">
        <v>3</v>
      </c>
      <c r="H4" s="7" t="s">
        <v>564</v>
      </c>
      <c r="I4" s="7" t="s">
        <v>567</v>
      </c>
    </row>
    <row r="5" customFormat="false" ht="15" hidden="false" customHeight="true" outlineLevel="0" collapsed="false">
      <c r="A5" s="6" t="n">
        <v>3</v>
      </c>
      <c r="B5" s="7" t="s">
        <v>140</v>
      </c>
      <c r="C5" s="7" t="s">
        <v>568</v>
      </c>
      <c r="D5" s="6" t="s">
        <v>563</v>
      </c>
      <c r="E5" s="6" t="s">
        <v>113</v>
      </c>
      <c r="F5" s="6" t="s">
        <v>61</v>
      </c>
      <c r="G5" s="6" t="n">
        <v>2</v>
      </c>
      <c r="H5" s="7" t="s">
        <v>564</v>
      </c>
      <c r="I5" s="7" t="s">
        <v>569</v>
      </c>
    </row>
    <row r="6" customFormat="false" ht="15" hidden="false" customHeight="true" outlineLevel="0" collapsed="false">
      <c r="A6" s="6" t="n">
        <v>4</v>
      </c>
      <c r="B6" s="7" t="s">
        <v>134</v>
      </c>
      <c r="C6" s="7" t="s">
        <v>570</v>
      </c>
      <c r="D6" s="6" t="s">
        <v>563</v>
      </c>
      <c r="E6" s="6" t="s">
        <v>113</v>
      </c>
      <c r="F6" s="6" t="s">
        <v>61</v>
      </c>
      <c r="G6" s="6" t="n">
        <v>2</v>
      </c>
      <c r="H6" s="7" t="s">
        <v>564</v>
      </c>
      <c r="I6" s="7" t="s">
        <v>569</v>
      </c>
    </row>
    <row r="7" customFormat="false" ht="15" hidden="false" customHeight="true" outlineLevel="0" collapsed="false">
      <c r="A7" s="6" t="n">
        <v>5</v>
      </c>
      <c r="B7" s="7" t="s">
        <v>167</v>
      </c>
      <c r="C7" s="7" t="s">
        <v>571</v>
      </c>
      <c r="D7" s="6" t="s">
        <v>563</v>
      </c>
      <c r="E7" s="6" t="s">
        <v>147</v>
      </c>
      <c r="F7" s="6" t="s">
        <v>69</v>
      </c>
      <c r="G7" s="6" t="n">
        <v>3</v>
      </c>
      <c r="H7" s="7" t="s">
        <v>564</v>
      </c>
      <c r="I7" s="7" t="s">
        <v>572</v>
      </c>
    </row>
    <row r="8" customFormat="false" ht="15" hidden="false" customHeight="true" outlineLevel="0" collapsed="false">
      <c r="A8" s="14" t="s">
        <v>573</v>
      </c>
      <c r="B8" s="14"/>
      <c r="C8" s="14"/>
      <c r="D8" s="14"/>
      <c r="E8" s="14"/>
      <c r="F8" s="14"/>
      <c r="G8" s="14"/>
      <c r="H8" s="14"/>
      <c r="I8" s="14"/>
    </row>
    <row r="9" customFormat="false" ht="15" hidden="false" customHeight="true" outlineLevel="0" collapsed="false">
      <c r="A9" s="6" t="n">
        <v>6</v>
      </c>
      <c r="B9" s="7" t="s">
        <v>222</v>
      </c>
      <c r="C9" s="7" t="s">
        <v>574</v>
      </c>
      <c r="D9" s="6" t="s">
        <v>575</v>
      </c>
      <c r="E9" s="6" t="s">
        <v>202</v>
      </c>
      <c r="F9" s="6" t="s">
        <v>69</v>
      </c>
      <c r="G9" s="6" t="n">
        <v>4</v>
      </c>
      <c r="H9" s="7" t="s">
        <v>216</v>
      </c>
      <c r="I9" s="7" t="s">
        <v>572</v>
      </c>
    </row>
    <row r="10" customFormat="false" ht="15" hidden="false" customHeight="true" outlineLevel="0" collapsed="false">
      <c r="A10" s="6" t="n">
        <v>7</v>
      </c>
      <c r="B10" s="7" t="s">
        <v>250</v>
      </c>
      <c r="C10" s="7" t="s">
        <v>576</v>
      </c>
      <c r="D10" s="6" t="s">
        <v>575</v>
      </c>
      <c r="E10" s="6" t="s">
        <v>577</v>
      </c>
      <c r="F10" s="6" t="s">
        <v>69</v>
      </c>
      <c r="G10" s="6" t="n">
        <v>4</v>
      </c>
      <c r="H10" s="7" t="s">
        <v>227</v>
      </c>
      <c r="I10" s="7" t="s">
        <v>572</v>
      </c>
    </row>
    <row r="11" customFormat="false" ht="15" hidden="false" customHeight="true" outlineLevel="0" collapsed="false">
      <c r="A11" s="6" t="n">
        <v>8</v>
      </c>
      <c r="B11" s="7" t="s">
        <v>331</v>
      </c>
      <c r="C11" s="7" t="s">
        <v>578</v>
      </c>
      <c r="D11" s="6" t="s">
        <v>575</v>
      </c>
      <c r="E11" s="6" t="s">
        <v>311</v>
      </c>
      <c r="F11" s="6" t="s">
        <v>87</v>
      </c>
      <c r="G11" s="6" t="n">
        <v>5</v>
      </c>
      <c r="H11" s="7" t="s">
        <v>216</v>
      </c>
      <c r="I11" s="7" t="s">
        <v>579</v>
      </c>
    </row>
    <row r="12" customFormat="false" ht="15" hidden="false" customHeight="true" outlineLevel="0" collapsed="false">
      <c r="A12" s="6" t="n">
        <v>9</v>
      </c>
      <c r="B12" s="7" t="s">
        <v>304</v>
      </c>
      <c r="C12" s="7" t="s">
        <v>580</v>
      </c>
      <c r="D12" s="6" t="s">
        <v>575</v>
      </c>
      <c r="E12" s="6" t="s">
        <v>284</v>
      </c>
      <c r="F12" s="6" t="s">
        <v>69</v>
      </c>
      <c r="G12" s="6" t="n">
        <v>3</v>
      </c>
      <c r="H12" s="7" t="s">
        <v>564</v>
      </c>
      <c r="I12" s="7" t="s">
        <v>579</v>
      </c>
    </row>
    <row r="13" customFormat="false" ht="23.25" hidden="false" customHeight="true" outlineLevel="0" collapsed="false">
      <c r="A13" s="6" t="n">
        <v>10</v>
      </c>
      <c r="B13" s="7" t="s">
        <v>417</v>
      </c>
      <c r="C13" s="7" t="s">
        <v>581</v>
      </c>
      <c r="D13" s="6" t="s">
        <v>575</v>
      </c>
      <c r="E13" s="6" t="s">
        <v>582</v>
      </c>
      <c r="F13" s="6" t="s">
        <v>69</v>
      </c>
      <c r="G13" s="6" t="n">
        <v>4</v>
      </c>
      <c r="H13" s="7" t="s">
        <v>271</v>
      </c>
      <c r="I13" s="7" t="s">
        <v>579</v>
      </c>
    </row>
    <row r="14" customFormat="false" ht="15" hidden="false" customHeight="true" outlineLevel="0" collapsed="false">
      <c r="A14" s="6" t="n">
        <v>11</v>
      </c>
      <c r="B14" s="7" t="s">
        <v>390</v>
      </c>
      <c r="C14" s="7" t="s">
        <v>583</v>
      </c>
      <c r="D14" s="6" t="s">
        <v>575</v>
      </c>
      <c r="E14" s="6" t="s">
        <v>370</v>
      </c>
      <c r="F14" s="6" t="s">
        <v>69</v>
      </c>
      <c r="G14" s="6" t="n">
        <v>4</v>
      </c>
      <c r="H14" s="7" t="s">
        <v>584</v>
      </c>
      <c r="I14" s="7" t="s">
        <v>579</v>
      </c>
    </row>
    <row r="15" customFormat="false" ht="15" hidden="false" customHeight="true" outlineLevel="0" collapsed="false">
      <c r="A15" s="6" t="n">
        <v>12</v>
      </c>
      <c r="B15" s="7" t="s">
        <v>444</v>
      </c>
      <c r="C15" s="7" t="s">
        <v>585</v>
      </c>
      <c r="D15" s="6" t="s">
        <v>575</v>
      </c>
      <c r="E15" s="6" t="s">
        <v>424</v>
      </c>
      <c r="F15" s="6" t="s">
        <v>69</v>
      </c>
      <c r="G15" s="6" t="n">
        <v>3</v>
      </c>
      <c r="H15" s="7" t="s">
        <v>564</v>
      </c>
      <c r="I15" s="7" t="s">
        <v>579</v>
      </c>
    </row>
    <row r="16" customFormat="false" ht="15" hidden="false" customHeight="true" outlineLevel="0" collapsed="false">
      <c r="A16" s="6" t="n">
        <v>13</v>
      </c>
      <c r="B16" s="7" t="s">
        <v>194</v>
      </c>
      <c r="C16" s="7" t="s">
        <v>586</v>
      </c>
      <c r="D16" s="6" t="s">
        <v>575</v>
      </c>
      <c r="E16" s="6" t="s">
        <v>174</v>
      </c>
      <c r="F16" s="6" t="s">
        <v>69</v>
      </c>
      <c r="G16" s="6" t="n">
        <v>4</v>
      </c>
      <c r="H16" s="7" t="s">
        <v>564</v>
      </c>
      <c r="I16" s="7" t="s">
        <v>587</v>
      </c>
    </row>
    <row r="17" customFormat="false" ht="15" hidden="false" customHeight="true" outlineLevel="0" collapsed="false">
      <c r="A17" s="6" t="n">
        <v>14</v>
      </c>
      <c r="B17" s="7" t="s">
        <v>501</v>
      </c>
      <c r="C17" s="7" t="s">
        <v>588</v>
      </c>
      <c r="D17" s="6" t="s">
        <v>575</v>
      </c>
      <c r="E17" s="6" t="s">
        <v>147</v>
      </c>
      <c r="F17" s="6" t="s">
        <v>69</v>
      </c>
      <c r="G17" s="6" t="n">
        <v>3</v>
      </c>
      <c r="H17" s="7" t="s">
        <v>564</v>
      </c>
      <c r="I17" s="7" t="s">
        <v>589</v>
      </c>
    </row>
    <row r="18" customFormat="false" ht="15" hidden="false" customHeight="true" outlineLevel="0" collapsed="false">
      <c r="A18" s="14" t="s">
        <v>590</v>
      </c>
      <c r="B18" s="14"/>
      <c r="C18" s="14"/>
      <c r="D18" s="14"/>
      <c r="E18" s="14"/>
      <c r="F18" s="14"/>
      <c r="G18" s="14"/>
      <c r="H18" s="14"/>
      <c r="I18" s="14"/>
    </row>
    <row r="19" customFormat="false" ht="15" hidden="false" customHeight="true" outlineLevel="0" collapsed="false">
      <c r="A19" s="6" t="n">
        <v>15</v>
      </c>
      <c r="B19" s="7" t="s">
        <v>505</v>
      </c>
      <c r="C19" s="7" t="s">
        <v>591</v>
      </c>
      <c r="D19" s="6" t="s">
        <v>592</v>
      </c>
      <c r="E19" s="6" t="s">
        <v>508</v>
      </c>
      <c r="F19" s="6" t="s">
        <v>69</v>
      </c>
      <c r="G19" s="6" t="n">
        <v>4</v>
      </c>
      <c r="H19" s="7" t="s">
        <v>564</v>
      </c>
      <c r="I19" s="7" t="s">
        <v>593</v>
      </c>
    </row>
    <row r="20" customFormat="false" ht="15" hidden="false" customHeight="true" outlineLevel="0" collapsed="false">
      <c r="A20" s="6" t="n">
        <v>16</v>
      </c>
      <c r="B20" s="7" t="s">
        <v>510</v>
      </c>
      <c r="C20" s="7" t="s">
        <v>594</v>
      </c>
      <c r="D20" s="6" t="s">
        <v>592</v>
      </c>
      <c r="E20" s="6" t="s">
        <v>508</v>
      </c>
      <c r="F20" s="6" t="s">
        <v>87</v>
      </c>
      <c r="G20" s="6" t="n">
        <v>6</v>
      </c>
      <c r="H20" s="7" t="s">
        <v>564</v>
      </c>
      <c r="I20" s="7" t="s">
        <v>595</v>
      </c>
    </row>
    <row r="21" customFormat="false" ht="15" hidden="false" customHeight="true" outlineLevel="0" collapsed="false">
      <c r="A21" s="6" t="n">
        <v>17</v>
      </c>
      <c r="B21" s="7" t="s">
        <v>513</v>
      </c>
      <c r="C21" s="7" t="s">
        <v>596</v>
      </c>
      <c r="D21" s="6" t="s">
        <v>592</v>
      </c>
      <c r="E21" s="6" t="s">
        <v>508</v>
      </c>
      <c r="F21" s="6" t="s">
        <v>69</v>
      </c>
      <c r="G21" s="6" t="n">
        <v>4</v>
      </c>
      <c r="H21" s="7" t="s">
        <v>597</v>
      </c>
      <c r="I21" s="7" t="s">
        <v>593</v>
      </c>
    </row>
    <row r="22" customFormat="false" ht="15" hidden="false" customHeight="true" outlineLevel="0" collapsed="false">
      <c r="A22" s="6" t="n">
        <v>18</v>
      </c>
      <c r="B22" s="7" t="s">
        <v>516</v>
      </c>
      <c r="C22" s="7" t="s">
        <v>598</v>
      </c>
      <c r="D22" s="6" t="s">
        <v>592</v>
      </c>
      <c r="E22" s="6" t="s">
        <v>508</v>
      </c>
      <c r="F22" s="6" t="s">
        <v>69</v>
      </c>
      <c r="G22" s="6" t="n">
        <v>3</v>
      </c>
      <c r="H22" s="7" t="s">
        <v>599</v>
      </c>
      <c r="I22" s="7" t="s">
        <v>593</v>
      </c>
    </row>
    <row r="23" customFormat="false" ht="15" hidden="false" customHeight="true" outlineLevel="0" collapsed="false">
      <c r="A23" s="6" t="n">
        <v>19</v>
      </c>
      <c r="B23" s="7" t="s">
        <v>519</v>
      </c>
      <c r="C23" s="7" t="s">
        <v>600</v>
      </c>
      <c r="D23" s="6" t="s">
        <v>592</v>
      </c>
      <c r="E23" s="6" t="s">
        <v>508</v>
      </c>
      <c r="F23" s="6" t="s">
        <v>69</v>
      </c>
      <c r="G23" s="6" t="n">
        <v>4</v>
      </c>
      <c r="H23" s="7" t="s">
        <v>601</v>
      </c>
      <c r="I23" s="7" t="s">
        <v>593</v>
      </c>
    </row>
    <row r="24" customFormat="false" ht="15" hidden="false" customHeight="true" outlineLevel="0" collapsed="false">
      <c r="A24" s="6" t="n">
        <v>20</v>
      </c>
      <c r="B24" s="7" t="s">
        <v>522</v>
      </c>
      <c r="C24" s="7" t="s">
        <v>602</v>
      </c>
      <c r="D24" s="6" t="s">
        <v>592</v>
      </c>
      <c r="E24" s="6" t="s">
        <v>508</v>
      </c>
      <c r="F24" s="6" t="s">
        <v>87</v>
      </c>
      <c r="G24" s="6" t="n">
        <v>5</v>
      </c>
      <c r="H24" s="7" t="s">
        <v>599</v>
      </c>
      <c r="I24" s="7" t="s">
        <v>603</v>
      </c>
    </row>
    <row r="25" customFormat="false" ht="15" hidden="false" customHeight="true" outlineLevel="0" collapsed="false">
      <c r="A25" s="6" t="n">
        <v>21</v>
      </c>
      <c r="B25" s="7" t="s">
        <v>525</v>
      </c>
      <c r="C25" s="7" t="s">
        <v>604</v>
      </c>
      <c r="D25" s="6" t="s">
        <v>592</v>
      </c>
      <c r="E25" s="6" t="s">
        <v>508</v>
      </c>
      <c r="F25" s="6" t="s">
        <v>69</v>
      </c>
      <c r="G25" s="6" t="n">
        <v>4</v>
      </c>
      <c r="H25" s="7" t="s">
        <v>605</v>
      </c>
      <c r="I25" s="7" t="s">
        <v>603</v>
      </c>
    </row>
    <row r="26" customFormat="false" ht="15" hidden="false" customHeight="true" outlineLevel="0" collapsed="false">
      <c r="A26" s="6" t="n">
        <v>22</v>
      </c>
      <c r="B26" s="7" t="s">
        <v>528</v>
      </c>
      <c r="C26" s="7" t="s">
        <v>606</v>
      </c>
      <c r="D26" s="6" t="s">
        <v>592</v>
      </c>
      <c r="E26" s="6" t="s">
        <v>508</v>
      </c>
      <c r="F26" s="6" t="s">
        <v>69</v>
      </c>
      <c r="G26" s="6" t="n">
        <v>4</v>
      </c>
      <c r="H26" s="7" t="s">
        <v>599</v>
      </c>
      <c r="I26" s="7" t="s">
        <v>603</v>
      </c>
    </row>
    <row r="27" customFormat="false" ht="15" hidden="false" customHeight="true" outlineLevel="0" collapsed="false">
      <c r="A27" s="6" t="n">
        <v>23</v>
      </c>
      <c r="B27" s="7" t="s">
        <v>531</v>
      </c>
      <c r="C27" s="7" t="s">
        <v>607</v>
      </c>
      <c r="D27" s="6" t="s">
        <v>592</v>
      </c>
      <c r="E27" s="6" t="s">
        <v>508</v>
      </c>
      <c r="F27" s="6" t="s">
        <v>69</v>
      </c>
      <c r="G27" s="6" t="n">
        <v>4</v>
      </c>
      <c r="H27" s="7" t="s">
        <v>605</v>
      </c>
      <c r="I27" s="7" t="s">
        <v>603</v>
      </c>
    </row>
    <row r="28" customFormat="false" ht="15" hidden="false" customHeight="true" outlineLevel="0" collapsed="false">
      <c r="A28" s="14" t="s">
        <v>608</v>
      </c>
      <c r="B28" s="14"/>
      <c r="C28" s="14"/>
      <c r="D28" s="14"/>
      <c r="E28" s="14"/>
      <c r="F28" s="14"/>
      <c r="G28" s="14"/>
      <c r="H28" s="14"/>
      <c r="I28" s="14"/>
    </row>
    <row r="29" customFormat="false" ht="15" hidden="false" customHeight="true" outlineLevel="0" collapsed="false">
      <c r="A29" s="6" t="n">
        <v>24</v>
      </c>
      <c r="B29" s="7" t="s">
        <v>534</v>
      </c>
      <c r="C29" s="7" t="s">
        <v>609</v>
      </c>
      <c r="D29" s="6" t="s">
        <v>610</v>
      </c>
      <c r="E29" s="6" t="s">
        <v>536</v>
      </c>
      <c r="F29" s="6" t="s">
        <v>87</v>
      </c>
      <c r="G29" s="6" t="n">
        <v>6</v>
      </c>
      <c r="H29" s="7" t="s">
        <v>611</v>
      </c>
      <c r="I29" s="7" t="s">
        <v>579</v>
      </c>
    </row>
    <row r="30" customFormat="false" ht="15" hidden="false" customHeight="true" outlineLevel="0" collapsed="false">
      <c r="A30" s="6" t="n">
        <v>25</v>
      </c>
      <c r="B30" s="7" t="s">
        <v>538</v>
      </c>
      <c r="C30" s="7" t="s">
        <v>612</v>
      </c>
      <c r="D30" s="6" t="s">
        <v>610</v>
      </c>
      <c r="E30" s="6" t="s">
        <v>540</v>
      </c>
      <c r="F30" s="6" t="s">
        <v>69</v>
      </c>
      <c r="G30" s="6" t="n">
        <v>4</v>
      </c>
      <c r="H30" s="7" t="s">
        <v>613</v>
      </c>
      <c r="I30" s="7" t="s">
        <v>579</v>
      </c>
    </row>
    <row r="31" customFormat="false" ht="15" hidden="false" customHeight="true" outlineLevel="0" collapsed="false">
      <c r="A31" s="6" t="n">
        <v>26</v>
      </c>
      <c r="B31" s="7" t="s">
        <v>546</v>
      </c>
      <c r="C31" s="7" t="s">
        <v>614</v>
      </c>
      <c r="D31" s="6" t="s">
        <v>610</v>
      </c>
      <c r="E31" s="6" t="s">
        <v>540</v>
      </c>
      <c r="F31" s="6" t="s">
        <v>69</v>
      </c>
      <c r="G31" s="6" t="n">
        <v>4</v>
      </c>
      <c r="H31" s="7" t="s">
        <v>615</v>
      </c>
      <c r="I31" s="7" t="s">
        <v>579</v>
      </c>
    </row>
    <row r="32" customFormat="false" ht="15" hidden="false" customHeight="true" outlineLevel="0" collapsed="false">
      <c r="A32" s="6" t="n">
        <v>27</v>
      </c>
      <c r="B32" s="7" t="s">
        <v>542</v>
      </c>
      <c r="C32" s="7" t="s">
        <v>616</v>
      </c>
      <c r="D32" s="6" t="s">
        <v>610</v>
      </c>
      <c r="E32" s="6" t="s">
        <v>544</v>
      </c>
      <c r="F32" s="6" t="s">
        <v>87</v>
      </c>
      <c r="G32" s="6" t="n">
        <v>8</v>
      </c>
      <c r="H32" s="7" t="s">
        <v>617</v>
      </c>
      <c r="I32" s="7" t="s">
        <v>618</v>
      </c>
    </row>
    <row r="33" customFormat="false" ht="15" hidden="false" customHeight="true" outlineLevel="0" collapsed="false">
      <c r="A33" s="14" t="s">
        <v>619</v>
      </c>
      <c r="B33" s="14"/>
      <c r="C33" s="14"/>
      <c r="D33" s="14"/>
      <c r="E33" s="14"/>
      <c r="F33" s="14"/>
      <c r="G33" s="14"/>
      <c r="H33" s="14"/>
      <c r="I33" s="14"/>
    </row>
    <row r="34" customFormat="false" ht="23.25" hidden="false" customHeight="true" outlineLevel="0" collapsed="false">
      <c r="A34" s="6" t="n">
        <v>28</v>
      </c>
      <c r="B34" s="7" t="s">
        <v>457</v>
      </c>
      <c r="C34" s="7" t="s">
        <v>620</v>
      </c>
      <c r="D34" s="6" t="s">
        <v>621</v>
      </c>
      <c r="E34" s="6" t="s">
        <v>80</v>
      </c>
      <c r="F34" s="6" t="s">
        <v>87</v>
      </c>
      <c r="G34" s="6" t="n">
        <v>8</v>
      </c>
      <c r="H34" s="7" t="s">
        <v>622</v>
      </c>
      <c r="I34" s="7" t="s">
        <v>587</v>
      </c>
    </row>
    <row r="35" customFormat="false" ht="15" hidden="false" customHeight="true" outlineLevel="0" collapsed="false">
      <c r="A35" s="6" t="n">
        <v>29</v>
      </c>
      <c r="B35" s="7" t="s">
        <v>277</v>
      </c>
      <c r="C35" s="7" t="s">
        <v>623</v>
      </c>
      <c r="D35" s="6" t="s">
        <v>621</v>
      </c>
      <c r="E35" s="6" t="s">
        <v>80</v>
      </c>
      <c r="F35" s="6" t="s">
        <v>69</v>
      </c>
      <c r="G35" s="6" t="n">
        <v>4</v>
      </c>
      <c r="H35" s="7" t="s">
        <v>622</v>
      </c>
      <c r="I35" s="7" t="s">
        <v>587</v>
      </c>
    </row>
    <row r="36" customFormat="false" ht="15" hidden="false" customHeight="true" outlineLevel="0" collapsed="false">
      <c r="A36" s="6" t="n">
        <v>30</v>
      </c>
      <c r="B36" s="7" t="s">
        <v>463</v>
      </c>
      <c r="C36" s="7" t="s">
        <v>624</v>
      </c>
      <c r="D36" s="6" t="s">
        <v>621</v>
      </c>
      <c r="E36" s="6" t="s">
        <v>80</v>
      </c>
      <c r="F36" s="6" t="s">
        <v>69</v>
      </c>
      <c r="G36" s="6" t="n">
        <v>4</v>
      </c>
      <c r="H36" s="7" t="s">
        <v>625</v>
      </c>
      <c r="I36" s="7" t="s">
        <v>465</v>
      </c>
    </row>
    <row r="37" customFormat="false" ht="15" hidden="false" customHeight="true" outlineLevel="0" collapsed="false">
      <c r="A37" s="6" t="n">
        <v>31</v>
      </c>
      <c r="B37" s="7" t="s">
        <v>490</v>
      </c>
      <c r="C37" s="7" t="s">
        <v>626</v>
      </c>
      <c r="D37" s="6" t="s">
        <v>621</v>
      </c>
      <c r="E37" s="6" t="s">
        <v>80</v>
      </c>
      <c r="F37" s="6" t="s">
        <v>69</v>
      </c>
      <c r="G37" s="6" t="n">
        <v>3</v>
      </c>
      <c r="H37" s="7" t="s">
        <v>627</v>
      </c>
      <c r="I37" s="7" t="s">
        <v>465</v>
      </c>
    </row>
    <row r="38" customFormat="false" ht="15" hidden="false" customHeight="true" outlineLevel="0" collapsed="false">
      <c r="A38" s="6" t="n">
        <v>32</v>
      </c>
      <c r="B38" s="7" t="s">
        <v>478</v>
      </c>
      <c r="C38" s="7" t="s">
        <v>628</v>
      </c>
      <c r="D38" s="6" t="s">
        <v>621</v>
      </c>
      <c r="E38" s="6" t="s">
        <v>80</v>
      </c>
      <c r="F38" s="6" t="s">
        <v>61</v>
      </c>
      <c r="G38" s="6" t="n">
        <v>2</v>
      </c>
      <c r="H38" s="7" t="s">
        <v>627</v>
      </c>
      <c r="I38" s="7" t="s">
        <v>465</v>
      </c>
    </row>
    <row r="39" customFormat="false" ht="15" hidden="false" customHeight="true" outlineLevel="0" collapsed="false">
      <c r="A39" s="6" t="n">
        <v>33</v>
      </c>
      <c r="B39" s="7" t="s">
        <v>481</v>
      </c>
      <c r="C39" s="7" t="s">
        <v>629</v>
      </c>
      <c r="D39" s="6" t="s">
        <v>621</v>
      </c>
      <c r="E39" s="6" t="s">
        <v>80</v>
      </c>
      <c r="F39" s="6" t="s">
        <v>69</v>
      </c>
      <c r="G39" s="6" t="n">
        <v>3</v>
      </c>
      <c r="H39" s="7" t="s">
        <v>564</v>
      </c>
      <c r="I39" s="7" t="s">
        <v>465</v>
      </c>
    </row>
    <row r="40" customFormat="false" ht="15" hidden="false" customHeight="true" outlineLevel="0" collapsed="false">
      <c r="A40" s="6" t="n">
        <v>34</v>
      </c>
      <c r="B40" s="7" t="s">
        <v>487</v>
      </c>
      <c r="C40" s="7" t="s">
        <v>630</v>
      </c>
      <c r="D40" s="6" t="s">
        <v>621</v>
      </c>
      <c r="E40" s="6" t="s">
        <v>80</v>
      </c>
      <c r="F40" s="6" t="s">
        <v>69</v>
      </c>
      <c r="G40" s="6" t="n">
        <v>3</v>
      </c>
      <c r="H40" s="7" t="s">
        <v>627</v>
      </c>
      <c r="I40" s="7" t="s">
        <v>465</v>
      </c>
    </row>
    <row r="41" customFormat="false" ht="15" hidden="false" customHeight="true" outlineLevel="0" collapsed="false">
      <c r="A41" s="6" t="n">
        <v>35</v>
      </c>
      <c r="B41" s="7" t="s">
        <v>484</v>
      </c>
      <c r="C41" s="7" t="s">
        <v>631</v>
      </c>
      <c r="D41" s="6" t="s">
        <v>621</v>
      </c>
      <c r="E41" s="6" t="s">
        <v>80</v>
      </c>
      <c r="F41" s="6" t="s">
        <v>69</v>
      </c>
      <c r="G41" s="6" t="n">
        <v>3</v>
      </c>
      <c r="H41" s="7" t="s">
        <v>625</v>
      </c>
      <c r="I41" s="7" t="s">
        <v>465</v>
      </c>
    </row>
    <row r="42" customFormat="false" ht="15" hidden="false" customHeight="true" outlineLevel="0" collapsed="false">
      <c r="A42" s="14" t="s">
        <v>632</v>
      </c>
      <c r="B42" s="14"/>
      <c r="C42" s="14"/>
      <c r="D42" s="14"/>
      <c r="E42" s="14"/>
      <c r="F42" s="14"/>
      <c r="G42" s="14"/>
      <c r="H42" s="14"/>
      <c r="I42" s="14"/>
    </row>
    <row r="43" customFormat="false" ht="15" hidden="false" customHeight="true" outlineLevel="0" collapsed="false">
      <c r="A43" s="6" t="n">
        <v>36</v>
      </c>
      <c r="B43" s="7" t="s">
        <v>354</v>
      </c>
      <c r="C43" s="7" t="s">
        <v>633</v>
      </c>
      <c r="D43" s="6" t="s">
        <v>634</v>
      </c>
      <c r="E43" s="6" t="s">
        <v>60</v>
      </c>
      <c r="F43" s="6" t="s">
        <v>69</v>
      </c>
      <c r="G43" s="6" t="n">
        <v>4</v>
      </c>
      <c r="H43" s="7" t="s">
        <v>635</v>
      </c>
      <c r="I43" s="7" t="s">
        <v>636</v>
      </c>
    </row>
    <row r="44" customFormat="false" ht="15" hidden="false" customHeight="true" outlineLevel="0" collapsed="false">
      <c r="A44" s="6" t="n">
        <v>37</v>
      </c>
      <c r="B44" s="7" t="s">
        <v>357</v>
      </c>
      <c r="C44" s="7" t="s">
        <v>637</v>
      </c>
      <c r="D44" s="6" t="s">
        <v>634</v>
      </c>
      <c r="E44" s="6" t="s">
        <v>60</v>
      </c>
      <c r="F44" s="6" t="s">
        <v>69</v>
      </c>
      <c r="G44" s="6" t="n">
        <v>4</v>
      </c>
      <c r="H44" s="7" t="s">
        <v>638</v>
      </c>
      <c r="I44" s="7" t="s">
        <v>636</v>
      </c>
    </row>
    <row r="45" customFormat="false" ht="15" hidden="false" customHeight="true" outlineLevel="0" collapsed="false">
      <c r="A45" s="6" t="n">
        <v>38</v>
      </c>
      <c r="B45" s="7" t="s">
        <v>552</v>
      </c>
      <c r="C45" s="7" t="s">
        <v>639</v>
      </c>
      <c r="D45" s="6" t="s">
        <v>634</v>
      </c>
      <c r="E45" s="6" t="s">
        <v>508</v>
      </c>
      <c r="F45" s="6" t="s">
        <v>87</v>
      </c>
      <c r="G45" s="6" t="n">
        <v>8</v>
      </c>
      <c r="H45" s="7" t="s">
        <v>640</v>
      </c>
      <c r="I45" s="7" t="s">
        <v>618</v>
      </c>
    </row>
    <row r="46" customFormat="false" ht="15" hidden="false" customHeight="true" outlineLevel="0" collapsed="false">
      <c r="A46" s="6" t="n">
        <v>39</v>
      </c>
      <c r="B46" s="7" t="s">
        <v>460</v>
      </c>
      <c r="C46" s="7" t="s">
        <v>641</v>
      </c>
      <c r="D46" s="6" t="s">
        <v>634</v>
      </c>
      <c r="E46" s="6" t="s">
        <v>80</v>
      </c>
      <c r="F46" s="6" t="s">
        <v>61</v>
      </c>
      <c r="G46" s="6" t="n">
        <v>2</v>
      </c>
      <c r="H46" s="7" t="s">
        <v>564</v>
      </c>
      <c r="I46" s="7" t="s">
        <v>587</v>
      </c>
    </row>
    <row r="47" customFormat="false" ht="15" hidden="false" customHeight="true" outlineLevel="0" collapsed="false">
      <c r="A47" s="6" t="n">
        <v>40</v>
      </c>
      <c r="B47" s="7" t="s">
        <v>642</v>
      </c>
      <c r="C47" s="7" t="s">
        <v>643</v>
      </c>
      <c r="D47" s="6" t="s">
        <v>634</v>
      </c>
      <c r="E47" s="6" t="s">
        <v>644</v>
      </c>
      <c r="F47" s="6" t="s">
        <v>61</v>
      </c>
      <c r="G47" s="6" t="n">
        <v>2</v>
      </c>
      <c r="H47" s="7" t="s">
        <v>564</v>
      </c>
      <c r="I47" s="7" t="s">
        <v>645</v>
      </c>
    </row>
    <row r="48" customFormat="false" ht="23.25" hidden="false" customHeight="true" outlineLevel="0" collapsed="false">
      <c r="A48" s="6" t="s">
        <v>26</v>
      </c>
      <c r="B48" s="7"/>
      <c r="C48" s="7"/>
      <c r="D48" s="6"/>
      <c r="E48" s="6"/>
      <c r="F48" s="6"/>
      <c r="G48" s="6" t="n">
        <v>162</v>
      </c>
      <c r="H48" s="7" t="s">
        <v>646</v>
      </c>
      <c r="I48" s="7"/>
    </row>
  </sheetData>
  <autoFilter ref="A1:I48"/>
  <mergeCells count="6">
    <mergeCell ref="A2:I2"/>
    <mergeCell ref="A8:I8"/>
    <mergeCell ref="A18:I18"/>
    <mergeCell ref="A28:I28"/>
    <mergeCell ref="A33:I33"/>
    <mergeCell ref="A42:I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4"/>
    <col collapsed="false" customWidth="true" hidden="false" outlineLevel="0" max="9" min="9" style="1" width="35"/>
  </cols>
  <sheetData>
    <row r="1" customFormat="false" ht="26.25" hidden="false" customHeight="true" outlineLevel="0" collapsed="false">
      <c r="A1" s="5" t="s">
        <v>647</v>
      </c>
      <c r="B1" s="5" t="s">
        <v>648</v>
      </c>
      <c r="C1" s="5" t="s">
        <v>649</v>
      </c>
      <c r="D1" s="5" t="s">
        <v>650</v>
      </c>
      <c r="E1" s="5" t="s">
        <v>651</v>
      </c>
      <c r="F1" s="5" t="s">
        <v>80</v>
      </c>
      <c r="G1" s="5" t="s">
        <v>652</v>
      </c>
      <c r="H1" s="5" t="s">
        <v>653</v>
      </c>
      <c r="I1" s="5" t="s">
        <v>654</v>
      </c>
    </row>
    <row r="2" customFormat="false" ht="15" hidden="false" customHeight="true" outlineLevel="0" collapsed="false">
      <c r="A2" s="6" t="s">
        <v>655</v>
      </c>
      <c r="B2" s="16" t="s">
        <v>656</v>
      </c>
      <c r="C2" s="16" t="s">
        <v>657</v>
      </c>
      <c r="D2" s="15" t="s">
        <v>657</v>
      </c>
      <c r="E2" s="15" t="s">
        <v>657</v>
      </c>
      <c r="F2" s="15" t="s">
        <v>657</v>
      </c>
      <c r="G2" s="17" t="s">
        <v>658</v>
      </c>
      <c r="H2" s="21" t="n">
        <f aca="false">(VALUE(SUBSTITUTE(B2,"%",""))+VALUE(SUBSTITUTE(C2,"%",""))+VALUE(SUBSTITUTE(D2,"%",""))+VALUE(SUBSTITUTE(E2,"%",""))+VALUE(SUBSTITUTE(F2,"%",""))+VALUE(SUBSTITUTE(G2,"%","")))/6</f>
        <v>93.3333333333333</v>
      </c>
      <c r="I2" s="7" t="s">
        <v>659</v>
      </c>
    </row>
    <row r="3" customFormat="false" ht="15" hidden="false" customHeight="true" outlineLevel="0" collapsed="false">
      <c r="A3" s="6" t="s">
        <v>660</v>
      </c>
      <c r="B3" s="16" t="s">
        <v>657</v>
      </c>
      <c r="C3" s="16" t="s">
        <v>657</v>
      </c>
      <c r="D3" s="15" t="s">
        <v>657</v>
      </c>
      <c r="E3" s="15" t="s">
        <v>657</v>
      </c>
      <c r="F3" s="15" t="s">
        <v>661</v>
      </c>
      <c r="G3" s="17" t="s">
        <v>658</v>
      </c>
      <c r="H3" s="21" t="n">
        <f aca="false">(VALUE(SUBSTITUTE(B3,"%",""))+VALUE(SUBSTITUTE(C3,"%",""))+VALUE(SUBSTITUTE(D3,"%",""))+VALUE(SUBSTITUTE(E3,"%",""))+VALUE(SUBSTITUTE(F3,"%",""))+VALUE(SUBSTITUTE(G3,"%","")))/6</f>
        <v>94.1666666666667</v>
      </c>
      <c r="I3" s="7" t="s">
        <v>662</v>
      </c>
    </row>
    <row r="4" customFormat="false" ht="15" hidden="false" customHeight="true" outlineLevel="0" collapsed="false">
      <c r="A4" s="6" t="s">
        <v>663</v>
      </c>
      <c r="B4" s="16" t="s">
        <v>657</v>
      </c>
      <c r="C4" s="16" t="s">
        <v>657</v>
      </c>
      <c r="D4" s="15" t="s">
        <v>657</v>
      </c>
      <c r="E4" s="15" t="s">
        <v>657</v>
      </c>
      <c r="F4" s="15" t="s">
        <v>661</v>
      </c>
      <c r="G4" s="17" t="s">
        <v>658</v>
      </c>
      <c r="H4" s="21" t="n">
        <f aca="false">(VALUE(SUBSTITUTE(B4,"%",""))+VALUE(SUBSTITUTE(C4,"%",""))+VALUE(SUBSTITUTE(D4,"%",""))+VALUE(SUBSTITUTE(E4,"%",""))+VALUE(SUBSTITUTE(F4,"%",""))+VALUE(SUBSTITUTE(G4,"%","")))/6</f>
        <v>94.1666666666667</v>
      </c>
      <c r="I4" s="7" t="s">
        <v>664</v>
      </c>
    </row>
    <row r="5" customFormat="false" ht="15" hidden="false" customHeight="true" outlineLevel="0" collapsed="false">
      <c r="A5" s="6" t="s">
        <v>665</v>
      </c>
      <c r="B5" s="16" t="s">
        <v>657</v>
      </c>
      <c r="C5" s="16" t="s">
        <v>657</v>
      </c>
      <c r="D5" s="15" t="s">
        <v>657</v>
      </c>
      <c r="E5" s="15" t="s">
        <v>657</v>
      </c>
      <c r="F5" s="19" t="s">
        <v>666</v>
      </c>
      <c r="G5" s="17" t="s">
        <v>658</v>
      </c>
      <c r="H5" s="21" t="n">
        <f aca="false">(VALUE(SUBSTITUTE(B5,"%",""))+VALUE(SUBSTITUTE(C5,"%",""))+VALUE(SUBSTITUTE(D5,"%",""))+VALUE(SUBSTITUTE(E5,"%",""))+VALUE(SUBSTITUTE(F5,"%",""))+VALUE(SUBSTITUTE(G5,"%","")))/6</f>
        <v>80</v>
      </c>
      <c r="I5" s="7" t="s">
        <v>667</v>
      </c>
    </row>
    <row r="6" customFormat="false" ht="15" hidden="false" customHeight="true" outlineLevel="0" collapsed="false">
      <c r="A6" s="6" t="s">
        <v>668</v>
      </c>
      <c r="B6" s="16" t="s">
        <v>657</v>
      </c>
      <c r="C6" s="16" t="s">
        <v>657</v>
      </c>
      <c r="D6" s="15" t="s">
        <v>657</v>
      </c>
      <c r="E6" s="15" t="s">
        <v>657</v>
      </c>
      <c r="F6" s="19" t="s">
        <v>666</v>
      </c>
      <c r="G6" s="17" t="s">
        <v>658</v>
      </c>
      <c r="H6" s="21" t="n">
        <f aca="false">(VALUE(SUBSTITUTE(B6,"%",""))+VALUE(SUBSTITUTE(C6,"%",""))+VALUE(SUBSTITUTE(D6,"%",""))+VALUE(SUBSTITUTE(E6,"%",""))+VALUE(SUBSTITUTE(F6,"%",""))+VALUE(SUBSTITUTE(G6,"%","")))/6</f>
        <v>80</v>
      </c>
      <c r="I6" s="7" t="s">
        <v>669</v>
      </c>
    </row>
    <row r="7" customFormat="false" ht="15" hidden="false" customHeight="true" outlineLevel="0" collapsed="false">
      <c r="A7" s="6" t="s">
        <v>670</v>
      </c>
      <c r="B7" s="16" t="s">
        <v>657</v>
      </c>
      <c r="C7" s="16" t="s">
        <v>657</v>
      </c>
      <c r="D7" s="15" t="s">
        <v>657</v>
      </c>
      <c r="E7" s="15" t="s">
        <v>657</v>
      </c>
      <c r="F7" s="19" t="s">
        <v>666</v>
      </c>
      <c r="G7" s="17" t="s">
        <v>658</v>
      </c>
      <c r="H7" s="21" t="n">
        <f aca="false">(VALUE(SUBSTITUTE(B7,"%",""))+VALUE(SUBSTITUTE(C7,"%",""))+VALUE(SUBSTITUTE(D7,"%",""))+VALUE(SUBSTITUTE(E7,"%",""))+VALUE(SUBSTITUTE(F7,"%",""))+VALUE(SUBSTITUTE(G7,"%","")))/6</f>
        <v>80</v>
      </c>
      <c r="I7" s="7" t="s">
        <v>671</v>
      </c>
    </row>
    <row r="8" customFormat="false" ht="15" hidden="false" customHeight="true" outlineLevel="0" collapsed="false">
      <c r="A8" s="6" t="s">
        <v>672</v>
      </c>
      <c r="B8" s="16" t="s">
        <v>657</v>
      </c>
      <c r="C8" s="16" t="s">
        <v>657</v>
      </c>
      <c r="D8" s="15" t="s">
        <v>657</v>
      </c>
      <c r="E8" s="15" t="s">
        <v>657</v>
      </c>
      <c r="F8" s="17" t="s">
        <v>673</v>
      </c>
      <c r="G8" s="17" t="s">
        <v>658</v>
      </c>
      <c r="H8" s="21" t="n">
        <f aca="false">(VALUE(SUBSTITUTE(B8,"%",""))+VALUE(SUBSTITUTE(C8,"%",""))+VALUE(SUBSTITUTE(D8,"%",""))+VALUE(SUBSTITUTE(E8,"%",""))+VALUE(SUBSTITUTE(F8,"%",""))+VALUE(SUBSTITUTE(G8,"%","")))/6</f>
        <v>88.3333333333333</v>
      </c>
      <c r="I8" s="7" t="s">
        <v>674</v>
      </c>
    </row>
    <row r="9" customFormat="false" ht="15" hidden="false" customHeight="true" outlineLevel="0" collapsed="false">
      <c r="A9" s="6" t="s">
        <v>675</v>
      </c>
      <c r="B9" s="16" t="s">
        <v>657</v>
      </c>
      <c r="C9" s="16" t="s">
        <v>657</v>
      </c>
      <c r="D9" s="15" t="s">
        <v>657</v>
      </c>
      <c r="E9" s="15" t="s">
        <v>657</v>
      </c>
      <c r="F9" s="19" t="s">
        <v>666</v>
      </c>
      <c r="G9" s="17" t="s">
        <v>658</v>
      </c>
      <c r="H9" s="21" t="n">
        <f aca="false">(VALUE(SUBSTITUTE(B9,"%",""))+VALUE(SUBSTITUTE(C9,"%",""))+VALUE(SUBSTITUTE(D9,"%",""))+VALUE(SUBSTITUTE(E9,"%",""))+VALUE(SUBSTITUTE(F9,"%",""))+VALUE(SUBSTITUTE(G9,"%","")))/6</f>
        <v>80</v>
      </c>
      <c r="I9" s="7" t="s">
        <v>676</v>
      </c>
    </row>
    <row r="10" customFormat="false" ht="15" hidden="false" customHeight="true" outlineLevel="0" collapsed="false">
      <c r="A10" s="6" t="s">
        <v>677</v>
      </c>
      <c r="B10" s="16" t="s">
        <v>657</v>
      </c>
      <c r="C10" s="16" t="s">
        <v>657</v>
      </c>
      <c r="D10" s="15" t="s">
        <v>657</v>
      </c>
      <c r="E10" s="15" t="s">
        <v>657</v>
      </c>
      <c r="F10" s="19" t="s">
        <v>666</v>
      </c>
      <c r="G10" s="17" t="s">
        <v>658</v>
      </c>
      <c r="H10" s="21" t="n">
        <f aca="false">(VALUE(SUBSTITUTE(B10,"%",""))+VALUE(SUBSTITUTE(C10,"%",""))+VALUE(SUBSTITUTE(D10,"%",""))+VALUE(SUBSTITUTE(E10,"%",""))+VALUE(SUBSTITUTE(F10,"%",""))+VALUE(SUBSTITUTE(G10,"%","")))/6</f>
        <v>80</v>
      </c>
      <c r="I10" s="7" t="s">
        <v>678</v>
      </c>
    </row>
    <row r="11" customFormat="false" ht="15" hidden="false" customHeight="true" outlineLevel="0" collapsed="false">
      <c r="A11" s="6" t="s">
        <v>679</v>
      </c>
      <c r="B11" s="16" t="s">
        <v>657</v>
      </c>
      <c r="C11" s="16" t="s">
        <v>657</v>
      </c>
      <c r="D11" s="15" t="s">
        <v>657</v>
      </c>
      <c r="E11" s="15" t="s">
        <v>657</v>
      </c>
      <c r="F11" s="19" t="s">
        <v>666</v>
      </c>
      <c r="G11" s="17" t="s">
        <v>658</v>
      </c>
      <c r="H11" s="21" t="n">
        <f aca="false">(VALUE(SUBSTITUTE(B11,"%",""))+VALUE(SUBSTITUTE(C11,"%",""))+VALUE(SUBSTITUTE(D11,"%",""))+VALUE(SUBSTITUTE(E11,"%",""))+VALUE(SUBSTITUTE(F11,"%",""))+VALUE(SUBSTITUTE(G11,"%","")))/6</f>
        <v>80</v>
      </c>
      <c r="I11" s="7" t="s">
        <v>680</v>
      </c>
    </row>
    <row r="12" customFormat="false" ht="15" hidden="false" customHeight="true" outlineLevel="0" collapsed="false">
      <c r="A12" s="6" t="s">
        <v>681</v>
      </c>
      <c r="B12" s="16" t="s">
        <v>657</v>
      </c>
      <c r="C12" s="16" t="s">
        <v>657</v>
      </c>
      <c r="D12" s="15" t="s">
        <v>657</v>
      </c>
      <c r="E12" s="15" t="s">
        <v>657</v>
      </c>
      <c r="F12" s="19" t="s">
        <v>666</v>
      </c>
      <c r="G12" s="17" t="s">
        <v>658</v>
      </c>
      <c r="H12" s="21" t="n">
        <f aca="false">(VALUE(SUBSTITUTE(B12,"%",""))+VALUE(SUBSTITUTE(C12,"%",""))+VALUE(SUBSTITUTE(D12,"%",""))+VALUE(SUBSTITUTE(E12,"%",""))+VALUE(SUBSTITUTE(F12,"%",""))+VALUE(SUBSTITUTE(G12,"%","")))/6</f>
        <v>80</v>
      </c>
      <c r="I12" s="7" t="s">
        <v>682</v>
      </c>
    </row>
    <row r="13" customFormat="false" ht="15" hidden="false" customHeight="true" outlineLevel="0" collapsed="false">
      <c r="A13" s="6" t="s">
        <v>683</v>
      </c>
      <c r="B13" s="16" t="s">
        <v>657</v>
      </c>
      <c r="C13" s="16" t="s">
        <v>657</v>
      </c>
      <c r="D13" s="15" t="s">
        <v>657</v>
      </c>
      <c r="E13" s="15" t="s">
        <v>657</v>
      </c>
      <c r="F13" s="17" t="s">
        <v>684</v>
      </c>
      <c r="G13" s="17" t="s">
        <v>658</v>
      </c>
      <c r="H13" s="21" t="n">
        <f aca="false">(VALUE(SUBSTITUTE(B13,"%",""))+VALUE(SUBSTITUTE(C13,"%",""))+VALUE(SUBSTITUTE(D13,"%",""))+VALUE(SUBSTITUTE(E13,"%",""))+VALUE(SUBSTITUTE(F13,"%",""))+VALUE(SUBSTITUTE(G13,"%","")))/6</f>
        <v>91.6666666666667</v>
      </c>
      <c r="I13" s="7" t="s">
        <v>685</v>
      </c>
    </row>
    <row r="14" customFormat="false" ht="15" hidden="false" customHeight="true" outlineLevel="0" collapsed="false">
      <c r="A14" s="6" t="s">
        <v>686</v>
      </c>
      <c r="B14" s="20" t="s">
        <v>687</v>
      </c>
      <c r="C14" s="20" t="s">
        <v>666</v>
      </c>
      <c r="D14" s="19" t="s">
        <v>666</v>
      </c>
      <c r="E14" s="19" t="s">
        <v>688</v>
      </c>
      <c r="F14" s="19" t="s">
        <v>688</v>
      </c>
      <c r="G14" s="19" t="s">
        <v>688</v>
      </c>
      <c r="H14" s="21" t="n">
        <f aca="false">(VALUE(SUBSTITUTE(B14,"%",""))+VALUE(SUBSTITUTE(C14,"%",""))+VALUE(SUBSTITUTE(D14,"%",""))+VALUE(SUBSTITUTE(E14,"%",""))+VALUE(SUBSTITUTE(F14,"%",""))+VALUE(SUBSTITUTE(G14,"%","")))/6</f>
        <v>5.83333333333333</v>
      </c>
      <c r="I14" s="7" t="s">
        <v>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7" min="6" style="0" width="10"/>
    <col collapsed="false" customWidth="true" hidden="false" outlineLevel="0" max="8" min="8" style="0" width="65"/>
    <col collapsed="false" customWidth="true" hidden="false" outlineLevel="0" max="9" min="9" style="0" width="14"/>
  </cols>
  <sheetData>
    <row r="1" customFormat="false" ht="26.85" hidden="false" customHeight="false" outlineLevel="0" collapsed="false">
      <c r="A1" s="22" t="s">
        <v>556</v>
      </c>
      <c r="B1" s="22" t="s">
        <v>47</v>
      </c>
      <c r="C1" s="22" t="s">
        <v>48</v>
      </c>
      <c r="D1" s="22" t="s">
        <v>50</v>
      </c>
      <c r="E1" s="22" t="s">
        <v>51</v>
      </c>
      <c r="F1" s="22" t="s">
        <v>558</v>
      </c>
      <c r="G1" s="22" t="s">
        <v>55</v>
      </c>
      <c r="H1" s="22" t="s">
        <v>690</v>
      </c>
      <c r="I1" s="22" t="s">
        <v>691</v>
      </c>
    </row>
    <row r="2" customFormat="false" ht="15" hidden="false" customHeight="false" outlineLevel="0" collapsed="false">
      <c r="A2" s="23" t="s">
        <v>692</v>
      </c>
      <c r="B2" s="23"/>
      <c r="C2" s="23"/>
      <c r="D2" s="23"/>
      <c r="E2" s="23"/>
      <c r="F2" s="23"/>
      <c r="G2" s="23"/>
      <c r="H2" s="23"/>
      <c r="I2" s="23"/>
    </row>
    <row r="3" customFormat="false" ht="23.85" hidden="false" customHeight="false" outlineLevel="0" collapsed="false">
      <c r="A3" s="24" t="n">
        <v>1</v>
      </c>
      <c r="B3" s="25" t="s">
        <v>693</v>
      </c>
      <c r="C3" s="25" t="s">
        <v>694</v>
      </c>
      <c r="D3" s="25" t="s">
        <v>470</v>
      </c>
      <c r="E3" s="24" t="s">
        <v>87</v>
      </c>
      <c r="F3" s="24" t="n">
        <v>6</v>
      </c>
      <c r="G3" s="24" t="s">
        <v>92</v>
      </c>
      <c r="H3" s="25" t="s">
        <v>695</v>
      </c>
      <c r="I3" s="25" t="s">
        <v>696</v>
      </c>
    </row>
    <row r="4" customFormat="false" ht="15" hidden="false" customHeight="false" outlineLevel="0" collapsed="false">
      <c r="A4" s="24" t="n">
        <v>2</v>
      </c>
      <c r="B4" s="25" t="s">
        <v>697</v>
      </c>
      <c r="C4" s="25" t="s">
        <v>698</v>
      </c>
      <c r="D4" s="25" t="s">
        <v>470</v>
      </c>
      <c r="E4" s="24" t="s">
        <v>69</v>
      </c>
      <c r="F4" s="24" t="n">
        <v>4</v>
      </c>
      <c r="G4" s="24" t="s">
        <v>92</v>
      </c>
      <c r="H4" s="25" t="s">
        <v>699</v>
      </c>
      <c r="I4" s="25" t="s">
        <v>696</v>
      </c>
    </row>
    <row r="5" customFormat="false" ht="15" hidden="false" customHeight="false" outlineLevel="0" collapsed="false">
      <c r="A5" s="24" t="n">
        <v>3</v>
      </c>
      <c r="B5" s="25" t="s">
        <v>700</v>
      </c>
      <c r="C5" s="25" t="s">
        <v>701</v>
      </c>
      <c r="D5" s="25" t="s">
        <v>470</v>
      </c>
      <c r="E5" s="24" t="s">
        <v>69</v>
      </c>
      <c r="F5" s="24" t="n">
        <v>4</v>
      </c>
      <c r="G5" s="24" t="s">
        <v>92</v>
      </c>
      <c r="H5" s="25" t="s">
        <v>702</v>
      </c>
      <c r="I5" s="25" t="s">
        <v>696</v>
      </c>
    </row>
    <row r="6" customFormat="false" ht="15" hidden="false" customHeight="false" outlineLevel="0" collapsed="false">
      <c r="A6" s="24" t="n">
        <v>4</v>
      </c>
      <c r="B6" s="25" t="s">
        <v>703</v>
      </c>
      <c r="C6" s="25" t="s">
        <v>704</v>
      </c>
      <c r="D6" s="25" t="s">
        <v>470</v>
      </c>
      <c r="E6" s="24" t="s">
        <v>69</v>
      </c>
      <c r="F6" s="24" t="n">
        <v>3</v>
      </c>
      <c r="G6" s="24" t="s">
        <v>92</v>
      </c>
      <c r="H6" s="25" t="s">
        <v>705</v>
      </c>
      <c r="I6" s="25" t="s">
        <v>696</v>
      </c>
    </row>
    <row r="7" customFormat="false" ht="15" hidden="false" customHeight="false" outlineLevel="0" collapsed="false">
      <c r="A7" s="24" t="n">
        <v>5</v>
      </c>
      <c r="B7" s="25" t="s">
        <v>706</v>
      </c>
      <c r="C7" s="25" t="s">
        <v>707</v>
      </c>
      <c r="D7" s="25" t="s">
        <v>470</v>
      </c>
      <c r="E7" s="24" t="s">
        <v>69</v>
      </c>
      <c r="F7" s="24" t="n">
        <v>3</v>
      </c>
      <c r="G7" s="24" t="s">
        <v>197</v>
      </c>
      <c r="H7" s="25" t="s">
        <v>708</v>
      </c>
      <c r="I7" s="25" t="s">
        <v>696</v>
      </c>
    </row>
    <row r="8" customFormat="false" ht="15" hidden="false" customHeight="false" outlineLevel="0" collapsed="false">
      <c r="A8" s="24" t="n">
        <v>6</v>
      </c>
      <c r="B8" s="25" t="s">
        <v>709</v>
      </c>
      <c r="C8" s="25" t="s">
        <v>710</v>
      </c>
      <c r="D8" s="25" t="s">
        <v>470</v>
      </c>
      <c r="E8" s="24" t="s">
        <v>69</v>
      </c>
      <c r="F8" s="24" t="n">
        <v>3</v>
      </c>
      <c r="G8" s="24" t="s">
        <v>92</v>
      </c>
      <c r="H8" s="25" t="s">
        <v>711</v>
      </c>
      <c r="I8" s="25" t="s">
        <v>696</v>
      </c>
    </row>
    <row r="9" customFormat="false" ht="15" hidden="false" customHeight="false" outlineLevel="0" collapsed="false">
      <c r="A9" s="23" t="s">
        <v>712</v>
      </c>
      <c r="B9" s="23"/>
      <c r="C9" s="23"/>
      <c r="D9" s="23"/>
      <c r="E9" s="23"/>
      <c r="F9" s="23"/>
      <c r="G9" s="23"/>
      <c r="H9" s="23"/>
      <c r="I9" s="23"/>
    </row>
    <row r="10" customFormat="false" ht="23.85" hidden="false" customHeight="false" outlineLevel="0" collapsed="false">
      <c r="A10" s="24" t="n">
        <v>7</v>
      </c>
      <c r="B10" s="25" t="s">
        <v>713</v>
      </c>
      <c r="C10" s="25" t="s">
        <v>714</v>
      </c>
      <c r="D10" s="25" t="s">
        <v>715</v>
      </c>
      <c r="E10" s="24" t="s">
        <v>87</v>
      </c>
      <c r="F10" s="24" t="n">
        <v>6</v>
      </c>
      <c r="G10" s="24" t="s">
        <v>92</v>
      </c>
      <c r="H10" s="25" t="s">
        <v>716</v>
      </c>
      <c r="I10" s="25" t="s">
        <v>717</v>
      </c>
    </row>
    <row r="11" customFormat="false" ht="15" hidden="false" customHeight="false" outlineLevel="0" collapsed="false">
      <c r="A11" s="24" t="n">
        <v>8</v>
      </c>
      <c r="B11" s="25" t="s">
        <v>718</v>
      </c>
      <c r="C11" s="25" t="s">
        <v>719</v>
      </c>
      <c r="D11" s="25" t="s">
        <v>715</v>
      </c>
      <c r="E11" s="24" t="s">
        <v>69</v>
      </c>
      <c r="F11" s="24" t="n">
        <v>4</v>
      </c>
      <c r="G11" s="24" t="s">
        <v>92</v>
      </c>
      <c r="H11" s="25" t="s">
        <v>720</v>
      </c>
      <c r="I11" s="25" t="s">
        <v>717</v>
      </c>
    </row>
    <row r="12" customFormat="false" ht="15" hidden="false" customHeight="false" outlineLevel="0" collapsed="false">
      <c r="A12" s="24" t="n">
        <v>9</v>
      </c>
      <c r="B12" s="25" t="s">
        <v>721</v>
      </c>
      <c r="C12" s="25" t="s">
        <v>722</v>
      </c>
      <c r="D12" s="25" t="s">
        <v>715</v>
      </c>
      <c r="E12" s="24" t="s">
        <v>69</v>
      </c>
      <c r="F12" s="24" t="n">
        <v>4</v>
      </c>
      <c r="G12" s="24" t="s">
        <v>92</v>
      </c>
      <c r="H12" s="25" t="s">
        <v>723</v>
      </c>
      <c r="I12" s="25" t="s">
        <v>717</v>
      </c>
    </row>
    <row r="13" customFormat="false" ht="15" hidden="false" customHeight="false" outlineLevel="0" collapsed="false">
      <c r="A13" s="24" t="n">
        <v>10</v>
      </c>
      <c r="B13" s="25" t="s">
        <v>724</v>
      </c>
      <c r="C13" s="25" t="s">
        <v>725</v>
      </c>
      <c r="D13" s="25" t="s">
        <v>174</v>
      </c>
      <c r="E13" s="24" t="s">
        <v>69</v>
      </c>
      <c r="F13" s="24" t="n">
        <v>4</v>
      </c>
      <c r="G13" s="24" t="s">
        <v>92</v>
      </c>
      <c r="H13" s="25" t="s">
        <v>726</v>
      </c>
      <c r="I13" s="25" t="s">
        <v>717</v>
      </c>
    </row>
    <row r="14" customFormat="false" ht="15" hidden="false" customHeight="false" outlineLevel="0" collapsed="false">
      <c r="A14" s="23" t="s">
        <v>727</v>
      </c>
      <c r="B14" s="23"/>
      <c r="C14" s="23"/>
      <c r="D14" s="23"/>
      <c r="E14" s="23"/>
      <c r="F14" s="23"/>
      <c r="G14" s="23"/>
      <c r="H14" s="23"/>
      <c r="I14" s="23"/>
    </row>
    <row r="15" customFormat="false" ht="15" hidden="false" customHeight="false" outlineLevel="0" collapsed="false">
      <c r="A15" s="24" t="n">
        <v>11</v>
      </c>
      <c r="B15" s="25" t="s">
        <v>728</v>
      </c>
      <c r="C15" s="25" t="s">
        <v>729</v>
      </c>
      <c r="D15" s="25" t="s">
        <v>397</v>
      </c>
      <c r="E15" s="24" t="s">
        <v>87</v>
      </c>
      <c r="F15" s="24" t="n">
        <v>6</v>
      </c>
      <c r="G15" s="24" t="s">
        <v>92</v>
      </c>
      <c r="H15" s="25" t="s">
        <v>730</v>
      </c>
      <c r="I15" s="25" t="s">
        <v>731</v>
      </c>
    </row>
    <row r="16" customFormat="false" ht="15" hidden="false" customHeight="false" outlineLevel="0" collapsed="false">
      <c r="A16" s="24" t="n">
        <v>12</v>
      </c>
      <c r="B16" s="25" t="s">
        <v>732</v>
      </c>
      <c r="C16" s="25" t="s">
        <v>733</v>
      </c>
      <c r="D16" s="25" t="s">
        <v>397</v>
      </c>
      <c r="E16" s="24" t="s">
        <v>69</v>
      </c>
      <c r="F16" s="24" t="n">
        <v>4</v>
      </c>
      <c r="G16" s="24" t="s">
        <v>92</v>
      </c>
      <c r="H16" s="25" t="s">
        <v>734</v>
      </c>
      <c r="I16" s="25" t="s">
        <v>731</v>
      </c>
    </row>
    <row r="17" customFormat="false" ht="15" hidden="false" customHeight="false" outlineLevel="0" collapsed="false">
      <c r="A17" s="24" t="n">
        <v>13</v>
      </c>
      <c r="B17" s="25" t="s">
        <v>735</v>
      </c>
      <c r="C17" s="25" t="s">
        <v>736</v>
      </c>
      <c r="D17" s="25" t="s">
        <v>397</v>
      </c>
      <c r="E17" s="24" t="s">
        <v>69</v>
      </c>
      <c r="F17" s="24" t="n">
        <v>3</v>
      </c>
      <c r="G17" s="24" t="s">
        <v>92</v>
      </c>
      <c r="H17" s="25" t="s">
        <v>737</v>
      </c>
      <c r="I17" s="25" t="s">
        <v>731</v>
      </c>
    </row>
    <row r="18" customFormat="false" ht="15" hidden="false" customHeight="false" outlineLevel="0" collapsed="false">
      <c r="A18" s="24" t="n">
        <v>14</v>
      </c>
      <c r="B18" s="25" t="s">
        <v>738</v>
      </c>
      <c r="C18" s="25" t="s">
        <v>739</v>
      </c>
      <c r="D18" s="25" t="s">
        <v>397</v>
      </c>
      <c r="E18" s="24" t="s">
        <v>69</v>
      </c>
      <c r="F18" s="24" t="n">
        <v>4</v>
      </c>
      <c r="G18" s="24" t="s">
        <v>92</v>
      </c>
      <c r="H18" s="25" t="s">
        <v>740</v>
      </c>
      <c r="I18" s="25" t="s">
        <v>731</v>
      </c>
    </row>
    <row r="19" customFormat="false" ht="15" hidden="false" customHeight="false" outlineLevel="0" collapsed="false">
      <c r="A19" s="24" t="n">
        <v>15</v>
      </c>
      <c r="B19" s="25" t="s">
        <v>741</v>
      </c>
      <c r="C19" s="25" t="s">
        <v>742</v>
      </c>
      <c r="D19" s="25" t="s">
        <v>397</v>
      </c>
      <c r="E19" s="24" t="s">
        <v>69</v>
      </c>
      <c r="F19" s="24" t="n">
        <v>3</v>
      </c>
      <c r="G19" s="24" t="s">
        <v>92</v>
      </c>
      <c r="H19" s="25" t="s">
        <v>743</v>
      </c>
      <c r="I19" s="25" t="s">
        <v>731</v>
      </c>
    </row>
    <row r="20" customFormat="false" ht="23.85" hidden="false" customHeight="false" outlineLevel="0" collapsed="false">
      <c r="A20" s="24" t="n">
        <v>16</v>
      </c>
      <c r="B20" s="25" t="s">
        <v>744</v>
      </c>
      <c r="C20" s="25" t="s">
        <v>745</v>
      </c>
      <c r="D20" s="25" t="s">
        <v>746</v>
      </c>
      <c r="E20" s="24" t="s">
        <v>87</v>
      </c>
      <c r="F20" s="24" t="n">
        <v>6</v>
      </c>
      <c r="G20" s="24" t="s">
        <v>92</v>
      </c>
      <c r="H20" s="25" t="s">
        <v>747</v>
      </c>
      <c r="I20" s="25" t="s">
        <v>731</v>
      </c>
    </row>
    <row r="21" customFormat="false" ht="15" hidden="false" customHeight="false" outlineLevel="0" collapsed="false">
      <c r="A21" s="23" t="s">
        <v>748</v>
      </c>
      <c r="B21" s="23"/>
      <c r="C21" s="23"/>
      <c r="D21" s="23"/>
      <c r="E21" s="23"/>
      <c r="F21" s="23"/>
      <c r="G21" s="23"/>
      <c r="H21" s="23"/>
      <c r="I21" s="23"/>
    </row>
    <row r="22" customFormat="false" ht="15" hidden="false" customHeight="false" outlineLevel="0" collapsed="false">
      <c r="A22" s="24" t="n">
        <v>17</v>
      </c>
      <c r="B22" s="25" t="s">
        <v>749</v>
      </c>
      <c r="C22" s="25" t="s">
        <v>750</v>
      </c>
      <c r="D22" s="25" t="s">
        <v>397</v>
      </c>
      <c r="E22" s="24" t="s">
        <v>69</v>
      </c>
      <c r="F22" s="24" t="n">
        <v>4</v>
      </c>
      <c r="G22" s="24" t="s">
        <v>92</v>
      </c>
      <c r="H22" s="25" t="s">
        <v>751</v>
      </c>
      <c r="I22" s="25" t="s">
        <v>717</v>
      </c>
    </row>
    <row r="23" customFormat="false" ht="15" hidden="false" customHeight="false" outlineLevel="0" collapsed="false">
      <c r="A23" s="24" t="n">
        <v>18</v>
      </c>
      <c r="B23" s="25" t="s">
        <v>752</v>
      </c>
      <c r="C23" s="25" t="s">
        <v>753</v>
      </c>
      <c r="D23" s="25" t="s">
        <v>397</v>
      </c>
      <c r="E23" s="24" t="s">
        <v>69</v>
      </c>
      <c r="F23" s="24" t="n">
        <v>4</v>
      </c>
      <c r="G23" s="24" t="s">
        <v>92</v>
      </c>
      <c r="H23" s="25" t="s">
        <v>754</v>
      </c>
      <c r="I23" s="25" t="s">
        <v>717</v>
      </c>
    </row>
    <row r="24" customFormat="false" ht="15" hidden="false" customHeight="false" outlineLevel="0" collapsed="false">
      <c r="A24" s="24" t="n">
        <v>19</v>
      </c>
      <c r="B24" s="25" t="s">
        <v>755</v>
      </c>
      <c r="C24" s="25" t="s">
        <v>756</v>
      </c>
      <c r="D24" s="25" t="s">
        <v>397</v>
      </c>
      <c r="E24" s="24" t="s">
        <v>69</v>
      </c>
      <c r="F24" s="24" t="n">
        <v>4</v>
      </c>
      <c r="G24" s="24" t="s">
        <v>92</v>
      </c>
      <c r="H24" s="25" t="s">
        <v>757</v>
      </c>
      <c r="I24" s="25" t="s">
        <v>717</v>
      </c>
    </row>
    <row r="25" customFormat="false" ht="15" hidden="false" customHeight="false" outlineLevel="0" collapsed="false">
      <c r="A25" s="23" t="s">
        <v>758</v>
      </c>
      <c r="B25" s="23"/>
      <c r="C25" s="23"/>
      <c r="D25" s="23"/>
      <c r="E25" s="23"/>
      <c r="F25" s="23"/>
      <c r="G25" s="23"/>
      <c r="H25" s="23"/>
      <c r="I25" s="23"/>
    </row>
    <row r="26" customFormat="false" ht="15" hidden="false" customHeight="false" outlineLevel="0" collapsed="false">
      <c r="A26" s="24" t="n">
        <v>20</v>
      </c>
      <c r="B26" s="25" t="s">
        <v>759</v>
      </c>
      <c r="C26" s="25" t="s">
        <v>760</v>
      </c>
      <c r="D26" s="25" t="s">
        <v>761</v>
      </c>
      <c r="E26" s="24" t="s">
        <v>87</v>
      </c>
      <c r="F26" s="24" t="n">
        <v>6</v>
      </c>
      <c r="G26" s="24" t="s">
        <v>92</v>
      </c>
      <c r="H26" s="25" t="s">
        <v>762</v>
      </c>
      <c r="I26" s="25" t="s">
        <v>731</v>
      </c>
    </row>
    <row r="27" customFormat="false" ht="15" hidden="false" customHeight="false" outlineLevel="0" collapsed="false">
      <c r="A27" s="24" t="n">
        <v>21</v>
      </c>
      <c r="B27" s="25" t="s">
        <v>763</v>
      </c>
      <c r="C27" s="25" t="s">
        <v>764</v>
      </c>
      <c r="D27" s="25" t="s">
        <v>761</v>
      </c>
      <c r="E27" s="24" t="s">
        <v>69</v>
      </c>
      <c r="F27" s="24" t="n">
        <v>4</v>
      </c>
      <c r="G27" s="24" t="s">
        <v>197</v>
      </c>
      <c r="H27" s="25" t="s">
        <v>765</v>
      </c>
      <c r="I27" s="25" t="s">
        <v>731</v>
      </c>
    </row>
    <row r="28" customFormat="false" ht="15" hidden="false" customHeight="false" outlineLevel="0" collapsed="false">
      <c r="A28" s="23" t="s">
        <v>766</v>
      </c>
      <c r="B28" s="23"/>
      <c r="C28" s="23"/>
      <c r="D28" s="23"/>
      <c r="E28" s="23"/>
      <c r="F28" s="23"/>
      <c r="G28" s="23"/>
      <c r="H28" s="23"/>
      <c r="I28" s="23"/>
    </row>
    <row r="29" customFormat="false" ht="15" hidden="false" customHeight="false" outlineLevel="0" collapsed="false">
      <c r="A29" s="24" t="n">
        <v>22</v>
      </c>
      <c r="B29" s="25" t="s">
        <v>767</v>
      </c>
      <c r="C29" s="25" t="s">
        <v>768</v>
      </c>
      <c r="D29" s="25" t="s">
        <v>311</v>
      </c>
      <c r="E29" s="24" t="s">
        <v>69</v>
      </c>
      <c r="F29" s="24" t="n">
        <v>4</v>
      </c>
      <c r="G29" s="24" t="s">
        <v>92</v>
      </c>
      <c r="H29" s="25" t="s">
        <v>769</v>
      </c>
      <c r="I29" s="25" t="s">
        <v>717</v>
      </c>
    </row>
    <row r="30" customFormat="false" ht="15" hidden="false" customHeight="false" outlineLevel="0" collapsed="false">
      <c r="A30" s="24" t="n">
        <v>23</v>
      </c>
      <c r="B30" s="25" t="s">
        <v>770</v>
      </c>
      <c r="C30" s="25" t="s">
        <v>771</v>
      </c>
      <c r="D30" s="25" t="s">
        <v>311</v>
      </c>
      <c r="E30" s="24" t="s">
        <v>69</v>
      </c>
      <c r="F30" s="24" t="n">
        <v>4</v>
      </c>
      <c r="G30" s="24" t="s">
        <v>92</v>
      </c>
      <c r="H30" s="25" t="s">
        <v>772</v>
      </c>
      <c r="I30" s="25" t="s">
        <v>717</v>
      </c>
    </row>
    <row r="31" customFormat="false" ht="15" hidden="false" customHeight="false" outlineLevel="0" collapsed="false">
      <c r="A31" s="24" t="n">
        <v>24</v>
      </c>
      <c r="B31" s="25" t="s">
        <v>773</v>
      </c>
      <c r="C31" s="25" t="s">
        <v>774</v>
      </c>
      <c r="D31" s="25" t="s">
        <v>311</v>
      </c>
      <c r="E31" s="24" t="s">
        <v>69</v>
      </c>
      <c r="F31" s="24" t="n">
        <v>3</v>
      </c>
      <c r="G31" s="24" t="s">
        <v>197</v>
      </c>
      <c r="H31" s="25" t="s">
        <v>775</v>
      </c>
      <c r="I31" s="25" t="s">
        <v>717</v>
      </c>
    </row>
    <row r="32" customFormat="false" ht="15" hidden="false" customHeight="false" outlineLevel="0" collapsed="false">
      <c r="A32" s="23" t="s">
        <v>776</v>
      </c>
      <c r="B32" s="23"/>
      <c r="C32" s="23"/>
      <c r="D32" s="23"/>
      <c r="E32" s="23"/>
      <c r="F32" s="23"/>
      <c r="G32" s="23"/>
      <c r="H32" s="23"/>
      <c r="I32" s="23"/>
    </row>
    <row r="33" customFormat="false" ht="15" hidden="false" customHeight="false" outlineLevel="0" collapsed="false">
      <c r="A33" s="24" t="n">
        <v>25</v>
      </c>
      <c r="B33" s="25" t="s">
        <v>777</v>
      </c>
      <c r="C33" s="25" t="s">
        <v>778</v>
      </c>
      <c r="D33" s="25" t="s">
        <v>397</v>
      </c>
      <c r="E33" s="24" t="s">
        <v>69</v>
      </c>
      <c r="F33" s="24" t="n">
        <v>4</v>
      </c>
      <c r="G33" s="24" t="s">
        <v>92</v>
      </c>
      <c r="H33" s="25" t="s">
        <v>779</v>
      </c>
      <c r="I33" s="25" t="s">
        <v>731</v>
      </c>
    </row>
    <row r="34" customFormat="false" ht="15" hidden="false" customHeight="false" outlineLevel="0" collapsed="false">
      <c r="A34" s="24" t="n">
        <v>26</v>
      </c>
      <c r="B34" s="25" t="s">
        <v>780</v>
      </c>
      <c r="C34" s="25" t="s">
        <v>781</v>
      </c>
      <c r="D34" s="25" t="s">
        <v>397</v>
      </c>
      <c r="E34" s="24" t="s">
        <v>69</v>
      </c>
      <c r="F34" s="24" t="n">
        <v>3</v>
      </c>
      <c r="G34" s="24" t="s">
        <v>92</v>
      </c>
      <c r="H34" s="25" t="s">
        <v>782</v>
      </c>
      <c r="I34" s="25" t="s">
        <v>731</v>
      </c>
    </row>
    <row r="35" customFormat="false" ht="23.85" hidden="false" customHeight="false" outlineLevel="0" collapsed="false">
      <c r="A35" s="24" t="n">
        <v>27</v>
      </c>
      <c r="B35" s="25" t="s">
        <v>783</v>
      </c>
      <c r="C35" s="25" t="s">
        <v>784</v>
      </c>
      <c r="D35" s="25" t="s">
        <v>397</v>
      </c>
      <c r="E35" s="24" t="s">
        <v>69</v>
      </c>
      <c r="F35" s="24" t="n">
        <v>4</v>
      </c>
      <c r="G35" s="24" t="s">
        <v>197</v>
      </c>
      <c r="H35" s="25" t="s">
        <v>785</v>
      </c>
      <c r="I35" s="25" t="s">
        <v>731</v>
      </c>
    </row>
    <row r="36" customFormat="false" ht="15" hidden="false" customHeight="false" outlineLevel="0" collapsed="false">
      <c r="A36" s="23" t="s">
        <v>786</v>
      </c>
      <c r="B36" s="23"/>
      <c r="C36" s="23"/>
      <c r="D36" s="23"/>
      <c r="E36" s="23"/>
      <c r="F36" s="23"/>
      <c r="G36" s="23"/>
      <c r="H36" s="23"/>
      <c r="I36" s="23"/>
    </row>
    <row r="37" customFormat="false" ht="23.85" hidden="false" customHeight="false" outlineLevel="0" collapsed="false">
      <c r="A37" s="24" t="n">
        <v>28</v>
      </c>
      <c r="B37" s="25" t="s">
        <v>787</v>
      </c>
      <c r="C37" s="25" t="s">
        <v>788</v>
      </c>
      <c r="D37" s="25" t="s">
        <v>470</v>
      </c>
      <c r="E37" s="24" t="s">
        <v>87</v>
      </c>
      <c r="F37" s="24" t="n">
        <v>6</v>
      </c>
      <c r="G37" s="24" t="s">
        <v>92</v>
      </c>
      <c r="H37" s="25" t="s">
        <v>789</v>
      </c>
      <c r="I37" s="25" t="s">
        <v>696</v>
      </c>
    </row>
    <row r="38" customFormat="false" ht="15" hidden="false" customHeight="false" outlineLevel="0" collapsed="false">
      <c r="A38" s="24" t="n">
        <v>29</v>
      </c>
      <c r="B38" s="25" t="s">
        <v>790</v>
      </c>
      <c r="C38" s="25" t="s">
        <v>791</v>
      </c>
      <c r="D38" s="25" t="s">
        <v>470</v>
      </c>
      <c r="E38" s="24" t="s">
        <v>87</v>
      </c>
      <c r="F38" s="24" t="n">
        <v>6</v>
      </c>
      <c r="G38" s="24" t="s">
        <v>197</v>
      </c>
      <c r="H38" s="25" t="s">
        <v>792</v>
      </c>
      <c r="I38" s="25" t="s">
        <v>793</v>
      </c>
    </row>
    <row r="39" customFormat="false" ht="23.85" hidden="false" customHeight="false" outlineLevel="0" collapsed="false">
      <c r="A39" s="24" t="n">
        <v>30</v>
      </c>
      <c r="B39" s="25" t="s">
        <v>794</v>
      </c>
      <c r="C39" s="25" t="s">
        <v>795</v>
      </c>
      <c r="D39" s="25" t="s">
        <v>470</v>
      </c>
      <c r="E39" s="24" t="s">
        <v>87</v>
      </c>
      <c r="F39" s="24" t="n">
        <v>8</v>
      </c>
      <c r="G39" s="24" t="s">
        <v>197</v>
      </c>
      <c r="H39" s="25" t="s">
        <v>796</v>
      </c>
      <c r="I39" s="25" t="s">
        <v>793</v>
      </c>
    </row>
    <row r="40" customFormat="false" ht="15" hidden="false" customHeight="false" outlineLevel="0" collapsed="false">
      <c r="A40" s="23" t="s">
        <v>797</v>
      </c>
      <c r="B40" s="23"/>
      <c r="C40" s="23"/>
      <c r="D40" s="23"/>
      <c r="E40" s="23"/>
      <c r="F40" s="23"/>
      <c r="G40" s="23"/>
      <c r="H40" s="23"/>
      <c r="I40" s="23"/>
    </row>
    <row r="41" customFormat="false" ht="15" hidden="false" customHeight="false" outlineLevel="0" collapsed="false">
      <c r="A41" s="24" t="n">
        <v>31</v>
      </c>
      <c r="B41" s="25" t="s">
        <v>798</v>
      </c>
      <c r="C41" s="25" t="s">
        <v>799</v>
      </c>
      <c r="D41" s="25" t="s">
        <v>113</v>
      </c>
      <c r="E41" s="24" t="s">
        <v>69</v>
      </c>
      <c r="F41" s="24" t="n">
        <v>3</v>
      </c>
      <c r="G41" s="24" t="s">
        <v>92</v>
      </c>
      <c r="H41" s="25" t="s">
        <v>800</v>
      </c>
      <c r="I41" s="25" t="s">
        <v>696</v>
      </c>
    </row>
    <row r="42" customFormat="false" ht="15" hidden="false" customHeight="false" outlineLevel="0" collapsed="false">
      <c r="A42" s="24" t="n">
        <v>32</v>
      </c>
      <c r="B42" s="25" t="s">
        <v>801</v>
      </c>
      <c r="C42" s="25" t="s">
        <v>802</v>
      </c>
      <c r="D42" s="25" t="s">
        <v>803</v>
      </c>
      <c r="E42" s="24" t="s">
        <v>87</v>
      </c>
      <c r="F42" s="24" t="n">
        <v>8</v>
      </c>
      <c r="G42" s="24" t="s">
        <v>197</v>
      </c>
      <c r="H42" s="25" t="s">
        <v>804</v>
      </c>
      <c r="I42" s="25" t="s">
        <v>793</v>
      </c>
    </row>
    <row r="43" customFormat="false" ht="15" hidden="false" customHeight="false" outlineLevel="0" collapsed="false">
      <c r="A43" s="24" t="n">
        <v>33</v>
      </c>
      <c r="B43" s="25" t="s">
        <v>805</v>
      </c>
      <c r="C43" s="25" t="s">
        <v>806</v>
      </c>
      <c r="D43" s="25" t="s">
        <v>113</v>
      </c>
      <c r="E43" s="24" t="s">
        <v>69</v>
      </c>
      <c r="F43" s="24" t="n">
        <v>3</v>
      </c>
      <c r="G43" s="24" t="s">
        <v>197</v>
      </c>
      <c r="H43" s="25" t="s">
        <v>807</v>
      </c>
      <c r="I43" s="25" t="s">
        <v>793</v>
      </c>
    </row>
    <row r="44" customFormat="false" ht="15" hidden="false" customHeight="false" outlineLevel="0" collapsed="false">
      <c r="A44" s="24" t="n">
        <v>34</v>
      </c>
      <c r="B44" s="25" t="s">
        <v>808</v>
      </c>
      <c r="C44" s="25" t="s">
        <v>809</v>
      </c>
      <c r="D44" s="25" t="s">
        <v>60</v>
      </c>
      <c r="E44" s="24" t="s">
        <v>69</v>
      </c>
      <c r="F44" s="24" t="n">
        <v>4</v>
      </c>
      <c r="G44" s="24" t="s">
        <v>197</v>
      </c>
      <c r="H44" s="25" t="s">
        <v>810</v>
      </c>
      <c r="I44" s="25" t="s">
        <v>793</v>
      </c>
    </row>
    <row r="45" customFormat="false" ht="15" hidden="false" customHeight="false" outlineLevel="0" collapsed="false">
      <c r="A45" s="23" t="s">
        <v>811</v>
      </c>
      <c r="B45" s="23"/>
      <c r="C45" s="23"/>
      <c r="D45" s="23"/>
      <c r="E45" s="23"/>
      <c r="F45" s="23"/>
      <c r="G45" s="23"/>
      <c r="H45" s="23"/>
      <c r="I45" s="23"/>
    </row>
    <row r="46" customFormat="false" ht="15" hidden="false" customHeight="false" outlineLevel="0" collapsed="false">
      <c r="A46" s="24" t="n">
        <v>35</v>
      </c>
      <c r="B46" s="25" t="s">
        <v>812</v>
      </c>
      <c r="C46" s="25" t="s">
        <v>813</v>
      </c>
      <c r="D46" s="25" t="s">
        <v>370</v>
      </c>
      <c r="E46" s="24" t="s">
        <v>87</v>
      </c>
      <c r="F46" s="24" t="n">
        <v>6</v>
      </c>
      <c r="G46" s="24" t="s">
        <v>197</v>
      </c>
      <c r="H46" s="25" t="s">
        <v>814</v>
      </c>
      <c r="I46" s="25" t="s">
        <v>793</v>
      </c>
    </row>
    <row r="47" customFormat="false" ht="15" hidden="false" customHeight="false" outlineLevel="0" collapsed="false">
      <c r="A47" s="24" t="n">
        <v>36</v>
      </c>
      <c r="B47" s="25" t="s">
        <v>815</v>
      </c>
      <c r="C47" s="25" t="s">
        <v>816</v>
      </c>
      <c r="D47" s="25" t="s">
        <v>370</v>
      </c>
      <c r="E47" s="24" t="s">
        <v>69</v>
      </c>
      <c r="F47" s="24" t="n">
        <v>4</v>
      </c>
      <c r="G47" s="24" t="s">
        <v>197</v>
      </c>
      <c r="H47" s="25" t="s">
        <v>817</v>
      </c>
      <c r="I47" s="25" t="s">
        <v>793</v>
      </c>
    </row>
    <row r="48" customFormat="false" ht="15" hidden="false" customHeight="false" outlineLevel="0" collapsed="false">
      <c r="A48" s="24" t="n">
        <v>37</v>
      </c>
      <c r="B48" s="25" t="s">
        <v>818</v>
      </c>
      <c r="C48" s="25" t="s">
        <v>819</v>
      </c>
      <c r="D48" s="25" t="s">
        <v>370</v>
      </c>
      <c r="E48" s="24" t="s">
        <v>69</v>
      </c>
      <c r="F48" s="24" t="n">
        <v>3</v>
      </c>
      <c r="G48" s="24" t="s">
        <v>197</v>
      </c>
      <c r="H48" s="25" t="s">
        <v>820</v>
      </c>
      <c r="I48" s="25" t="s">
        <v>793</v>
      </c>
    </row>
    <row r="49" customFormat="false" ht="15" hidden="false" customHeight="false" outlineLevel="0" collapsed="false">
      <c r="A49" s="23" t="s">
        <v>821</v>
      </c>
      <c r="B49" s="23"/>
      <c r="C49" s="23"/>
      <c r="D49" s="23"/>
      <c r="E49" s="23"/>
      <c r="F49" s="23"/>
      <c r="G49" s="23"/>
      <c r="H49" s="23"/>
      <c r="I49" s="23"/>
    </row>
    <row r="50" customFormat="false" ht="15" hidden="false" customHeight="false" outlineLevel="0" collapsed="false">
      <c r="A50" s="24" t="n">
        <v>38</v>
      </c>
      <c r="B50" s="25" t="s">
        <v>822</v>
      </c>
      <c r="C50" s="25" t="s">
        <v>823</v>
      </c>
      <c r="D50" s="25" t="s">
        <v>470</v>
      </c>
      <c r="E50" s="24" t="s">
        <v>69</v>
      </c>
      <c r="F50" s="24" t="n">
        <v>4</v>
      </c>
      <c r="G50" s="24" t="s">
        <v>197</v>
      </c>
      <c r="H50" s="25" t="s">
        <v>824</v>
      </c>
      <c r="I50" s="25" t="s">
        <v>825</v>
      </c>
    </row>
    <row r="51" customFormat="false" ht="15" hidden="false" customHeight="false" outlineLevel="0" collapsed="false">
      <c r="A51" s="24" t="n">
        <v>39</v>
      </c>
      <c r="B51" s="25" t="s">
        <v>826</v>
      </c>
      <c r="C51" s="25" t="s">
        <v>827</v>
      </c>
      <c r="D51" s="25" t="s">
        <v>470</v>
      </c>
      <c r="E51" s="24" t="s">
        <v>69</v>
      </c>
      <c r="F51" s="24" t="n">
        <v>4</v>
      </c>
      <c r="G51" s="24" t="s">
        <v>197</v>
      </c>
      <c r="H51" s="25" t="s">
        <v>828</v>
      </c>
      <c r="I51" s="25" t="s">
        <v>825</v>
      </c>
    </row>
    <row r="52" customFormat="false" ht="15" hidden="false" customHeight="false" outlineLevel="0" collapsed="false">
      <c r="A52" s="24" t="n">
        <v>40</v>
      </c>
      <c r="B52" s="25" t="s">
        <v>829</v>
      </c>
      <c r="C52" s="25" t="s">
        <v>830</v>
      </c>
      <c r="D52" s="25" t="s">
        <v>113</v>
      </c>
      <c r="E52" s="24" t="s">
        <v>69</v>
      </c>
      <c r="F52" s="24" t="n">
        <v>4</v>
      </c>
      <c r="G52" s="24" t="s">
        <v>197</v>
      </c>
      <c r="H52" s="25" t="s">
        <v>831</v>
      </c>
      <c r="I52" s="25" t="s">
        <v>825</v>
      </c>
    </row>
    <row r="53" customFormat="false" ht="15" hidden="false" customHeight="false" outlineLevel="0" collapsed="false">
      <c r="A53" s="23" t="s">
        <v>832</v>
      </c>
      <c r="B53" s="23"/>
      <c r="C53" s="23"/>
      <c r="D53" s="23"/>
      <c r="E53" s="23"/>
      <c r="F53" s="23"/>
      <c r="G53" s="23"/>
      <c r="H53" s="23"/>
      <c r="I53" s="23"/>
    </row>
    <row r="54" customFormat="false" ht="23.85" hidden="false" customHeight="false" outlineLevel="0" collapsed="false">
      <c r="A54" s="24" t="n">
        <v>41</v>
      </c>
      <c r="B54" s="25" t="s">
        <v>833</v>
      </c>
      <c r="C54" s="25" t="s">
        <v>834</v>
      </c>
      <c r="D54" s="25" t="s">
        <v>68</v>
      </c>
      <c r="E54" s="24" t="s">
        <v>69</v>
      </c>
      <c r="F54" s="24" t="n">
        <v>4</v>
      </c>
      <c r="G54" s="24" t="s">
        <v>92</v>
      </c>
      <c r="H54" s="25" t="s">
        <v>835</v>
      </c>
      <c r="I54" s="25" t="s">
        <v>696</v>
      </c>
    </row>
    <row r="55" customFormat="false" ht="15" hidden="false" customHeight="false" outlineLevel="0" collapsed="false">
      <c r="A55" s="24" t="n">
        <v>42</v>
      </c>
      <c r="B55" s="25" t="s">
        <v>836</v>
      </c>
      <c r="C55" s="25" t="s">
        <v>837</v>
      </c>
      <c r="D55" s="25" t="s">
        <v>68</v>
      </c>
      <c r="E55" s="24" t="s">
        <v>69</v>
      </c>
      <c r="F55" s="24" t="n">
        <v>4</v>
      </c>
      <c r="G55" s="24" t="s">
        <v>92</v>
      </c>
      <c r="H55" s="25" t="s">
        <v>838</v>
      </c>
      <c r="I55" s="25" t="s">
        <v>696</v>
      </c>
    </row>
    <row r="56" customFormat="false" ht="15" hidden="false" customHeight="false" outlineLevel="0" collapsed="false">
      <c r="A56" s="24" t="n">
        <v>43</v>
      </c>
      <c r="B56" s="25" t="s">
        <v>839</v>
      </c>
      <c r="C56" s="25" t="s">
        <v>840</v>
      </c>
      <c r="D56" s="25" t="s">
        <v>68</v>
      </c>
      <c r="E56" s="24" t="s">
        <v>69</v>
      </c>
      <c r="F56" s="24" t="n">
        <v>3</v>
      </c>
      <c r="G56" s="24" t="s">
        <v>92</v>
      </c>
      <c r="H56" s="25" t="s">
        <v>841</v>
      </c>
      <c r="I56" s="25" t="s">
        <v>696</v>
      </c>
    </row>
    <row r="57" customFormat="false" ht="15" hidden="false" customHeight="false" outlineLevel="0" collapsed="false">
      <c r="A57" s="23" t="s">
        <v>842</v>
      </c>
      <c r="B57" s="23"/>
      <c r="C57" s="23"/>
      <c r="D57" s="23"/>
      <c r="E57" s="23"/>
      <c r="F57" s="23"/>
      <c r="G57" s="23"/>
      <c r="H57" s="23"/>
      <c r="I57" s="23"/>
    </row>
    <row r="58" customFormat="false" ht="23.85" hidden="false" customHeight="false" outlineLevel="0" collapsed="false">
      <c r="A58" s="24" t="n">
        <v>44</v>
      </c>
      <c r="B58" s="25" t="s">
        <v>843</v>
      </c>
      <c r="C58" s="25" t="s">
        <v>844</v>
      </c>
      <c r="D58" s="25" t="s">
        <v>470</v>
      </c>
      <c r="E58" s="24" t="s">
        <v>87</v>
      </c>
      <c r="F58" s="24" t="n">
        <v>6</v>
      </c>
      <c r="G58" s="24" t="s">
        <v>92</v>
      </c>
      <c r="H58" s="25" t="s">
        <v>845</v>
      </c>
      <c r="I58" s="25" t="s">
        <v>717</v>
      </c>
    </row>
    <row r="59" customFormat="false" ht="15" hidden="false" customHeight="false" outlineLevel="0" collapsed="false">
      <c r="A59" s="24" t="n">
        <v>45</v>
      </c>
      <c r="B59" s="25" t="s">
        <v>846</v>
      </c>
      <c r="C59" s="25" t="s">
        <v>847</v>
      </c>
      <c r="D59" s="25" t="s">
        <v>715</v>
      </c>
      <c r="E59" s="24" t="s">
        <v>69</v>
      </c>
      <c r="F59" s="24" t="n">
        <v>4</v>
      </c>
      <c r="G59" s="24" t="s">
        <v>92</v>
      </c>
      <c r="H59" s="25" t="s">
        <v>848</v>
      </c>
      <c r="I59" s="25" t="s">
        <v>717</v>
      </c>
    </row>
    <row r="60" customFormat="false" ht="15" hidden="false" customHeight="false" outlineLevel="0" collapsed="false">
      <c r="A60" s="24" t="n">
        <v>46</v>
      </c>
      <c r="B60" s="25" t="s">
        <v>849</v>
      </c>
      <c r="C60" s="25" t="s">
        <v>850</v>
      </c>
      <c r="D60" s="25" t="s">
        <v>311</v>
      </c>
      <c r="E60" s="24" t="s">
        <v>69</v>
      </c>
      <c r="F60" s="24" t="n">
        <v>4</v>
      </c>
      <c r="G60" s="24" t="s">
        <v>92</v>
      </c>
      <c r="H60" s="25" t="s">
        <v>851</v>
      </c>
      <c r="I60" s="25" t="s">
        <v>717</v>
      </c>
    </row>
    <row r="61" customFormat="false" ht="23.85" hidden="false" customHeight="false" outlineLevel="0" collapsed="false">
      <c r="A61" s="6" t="s">
        <v>26</v>
      </c>
      <c r="B61" s="7"/>
      <c r="C61" s="7"/>
      <c r="D61" s="7"/>
      <c r="E61" s="6"/>
      <c r="F61" s="6" t="n">
        <v>199</v>
      </c>
      <c r="G61" s="6" t="s">
        <v>852</v>
      </c>
      <c r="H61" s="7"/>
      <c r="I61" s="7"/>
    </row>
  </sheetData>
  <autoFilter ref="A1:I61"/>
  <mergeCells count="13">
    <mergeCell ref="A2:I2"/>
    <mergeCell ref="A9:I9"/>
    <mergeCell ref="A14:I14"/>
    <mergeCell ref="A21:I21"/>
    <mergeCell ref="A25:I25"/>
    <mergeCell ref="A28:I28"/>
    <mergeCell ref="A32:I32"/>
    <mergeCell ref="A36:I36"/>
    <mergeCell ref="A40:I40"/>
    <mergeCell ref="A45:I45"/>
    <mergeCell ref="A49:I49"/>
    <mergeCell ref="A53:I53"/>
    <mergeCell ref="A57:I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2026-04-06T15:39:52Z</dcterms:created>
  <dc:creator>openpyxl</dc:creator>
  <dc:description/>
  <dc:language>en-US</dc:language>
  <cp:lastModifiedBy/>
  <dcterms:modified xsi:type="dcterms:W3CDTF">2026-04-06T15:42:00Z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